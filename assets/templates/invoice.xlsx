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CHA\7. TKMPN\TKMPN 2026 PADANG\INVOICE\"/>
    </mc:Choice>
  </mc:AlternateContent>
  <xr:revisionPtr revIDLastSave="0" documentId="13_ncr:1_{DF559FB0-AB9F-4664-90D9-A618CCD5A163}" xr6:coauthVersionLast="47" xr6:coauthVersionMax="47" xr10:uidLastSave="{00000000-0000-0000-0000-000000000000}"/>
  <bookViews>
    <workbookView xWindow="-110" yWindow="-110" windowWidth="19420" windowHeight="10300" xr2:uid="{DFCE1657-4BAF-4773-BA1D-B0069AF9DA25}"/>
  </bookViews>
  <sheets>
    <sheet name="tkmpn" sheetId="1" r:id="rId1"/>
  </sheets>
  <definedNames>
    <definedName name="_xlnm.Print_Area" localSheetId="0">tkmpn!$B$1:$J$43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J24" i="1"/>
  <c r="J23" i="1"/>
  <c r="J22" i="1"/>
  <c r="J26" i="1" l="1"/>
  <c r="J27" i="1" s="1"/>
  <c r="J28" i="1" l="1"/>
</calcChain>
</file>

<file path=xl/sharedStrings.xml><?xml version="1.0" encoding="utf-8"?>
<sst xmlns="http://schemas.openxmlformats.org/spreadsheetml/2006/main" count="54" uniqueCount="47">
  <si>
    <t>WAHANA KENDALI MUTU</t>
  </si>
  <si>
    <t>INVOICE</t>
  </si>
  <si>
    <t>Kepada Yth:</t>
  </si>
  <si>
    <t>NPWP : 01.582.981.5-013-000</t>
  </si>
  <si>
    <t>Tanggal</t>
  </si>
  <si>
    <t>Jl. Ciputat Raya No. 8 Kebayoran Lama</t>
  </si>
  <si>
    <t>No. Invoice</t>
  </si>
  <si>
    <t>Jakarta Selatan</t>
  </si>
  <si>
    <t>URAIAN PEKERJAAN</t>
  </si>
  <si>
    <t>JUMLAH</t>
  </si>
  <si>
    <t>HARGA</t>
  </si>
  <si>
    <t>TOTAL</t>
  </si>
  <si>
    <t>SATUAN</t>
  </si>
  <si>
    <t>TOTAL BIAYA</t>
  </si>
  <si>
    <t>Hormat kami</t>
  </si>
  <si>
    <t>Indah Budiwati</t>
  </si>
  <si>
    <t>Bendahara</t>
  </si>
  <si>
    <t>Keterangan :</t>
  </si>
  <si>
    <t>BIAYA</t>
  </si>
  <si>
    <t>Pembayaran melalui transfer ke rekening PT Wahana Kendali Mutu:</t>
  </si>
  <si>
    <t>2. BCA KCP Gatot Subroto Jakarta Selatan - No. Rekening: 145-350-575-1</t>
  </si>
  <si>
    <r>
      <t>1. Mandiri KCP S. Parman Jakarta Barat - No. Rekening: 116-009-7010-178</t>
    </r>
    <r>
      <rPr>
        <b/>
        <sz val="11"/>
        <rFont val="Calibri"/>
        <family val="2"/>
      </rPr>
      <t xml:space="preserve"> atau</t>
    </r>
  </si>
  <si>
    <t>Padang, 23 - 27 November 2026</t>
  </si>
  <si>
    <t>PENDAFTARAN PESERTA:</t>
  </si>
  <si>
    <t>orang</t>
  </si>
  <si>
    <t>PPN</t>
  </si>
  <si>
    <t>Temu Karya Mutu &amp; Produktivitas Nasional XXX - 2026</t>
  </si>
  <si>
    <t>PENYAJI</t>
  </si>
  <si>
    <t>Panitia TKMPN XXX - 2026</t>
  </si>
  <si>
    <t>A.</t>
  </si>
  <si>
    <t>: 13 Oktober 2026</t>
  </si>
  <si>
    <t>: 224/TKMPN/WKM/X/2026</t>
  </si>
  <si>
    <t>Jl. Letjen MT Haryono, Bidara Cita, Kecamatan Jatinegara,</t>
  </si>
  <si>
    <t>Waskita IDSurvey Tower</t>
  </si>
  <si>
    <t>PT WASKITA KARYA (PERSERO) Tbk</t>
  </si>
  <si>
    <t>1.</t>
  </si>
  <si>
    <t>2.</t>
  </si>
  <si>
    <t>TIM SAMPURASUN</t>
  </si>
  <si>
    <t>TIM SHORCUT 9-10</t>
  </si>
  <si>
    <t>TIM LRT PHASE 1B</t>
  </si>
  <si>
    <t>3.</t>
  </si>
  <si>
    <t>Ibu Herminanti Maya Hapsari</t>
  </si>
  <si>
    <t xml:space="preserve">Jakarta Timur 13330 </t>
  </si>
  <si>
    <t>Divisi MRMK3L/QSHE Lantai 11</t>
  </si>
  <si>
    <t>No. Hp: 0812-1965-2640</t>
  </si>
  <si>
    <t>Cipinang Cempedak, Jatinegara</t>
  </si>
  <si>
    <t>Jl. Letjen MT Haryono Kav.10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</si>
</sst>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[$-409]dd\-mmm\-yy;@"/>
    <numFmt numFmtId="165" formatCode="_([$Rp-421]* #,##0_);_([$Rp-421]* \(#,##0\);_([$Rp-421]* &quot;-&quot;??_);_(@_)"/>
    <numFmt numFmtId="166" formatCode="_(&quot;Rp&quot;* #,##0_);_(&quot;Rp&quot;* \(#,##0\);_(&quot;Rp&quot;* &quot;-&quot;_);_(@_)"/>
    <numFmt numFmtId="167" formatCode="_([$$-409]* #,##0_);_([$$-409]* \(#,##0\);_([$$-409]* &quot;-&quot;_);_(@_)"/>
    <numFmt numFmtId="168" formatCode="_-[$Rp-421]* #,##0_-;\-[$Rp-421]* #,##0_-;_-[$Rp-421]* &quot;-&quot;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  <charset val="1"/>
    </font>
    <font>
      <u/>
      <sz val="12"/>
      <name val="Calibri"/>
      <family val="2"/>
      <scheme val="minor"/>
    </font>
    <font>
      <sz val="10"/>
      <color indexed="8"/>
      <name val="Calibri Light"/>
      <family val="2"/>
    </font>
    <font>
      <b/>
      <sz val="24"/>
      <name val="Calibri"/>
      <family val="2"/>
      <scheme val="minor"/>
    </font>
    <font>
      <b/>
      <sz val="14"/>
      <color theme="1"/>
      <name val="Calibri"/>
      <family val="2"/>
    </font>
    <font>
      <u/>
      <sz val="12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4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b/>
      <sz val="12"/>
      <name val="Calibri Light"/>
      <family val="2"/>
      <scheme val="major"/>
    </font>
    <font>
      <b/>
      <sz val="12"/>
      <color indexed="8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4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 applyAlignment="1">
      <alignment horizontal="left"/>
    </xf>
    <xf numFmtId="0" fontId="5" fillId="0" borderId="0" xfId="0" applyFont="1"/>
    <xf numFmtId="14" fontId="4" fillId="0" borderId="0" xfId="0" applyNumberFormat="1" applyFont="1" applyAlignment="1">
      <alignment horizontal="left"/>
    </xf>
    <xf numFmtId="0" fontId="5" fillId="0" borderId="0" xfId="0" quotePrefix="1" applyFont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/>
    </xf>
    <xf numFmtId="43" fontId="10" fillId="0" borderId="5" xfId="1" applyFont="1" applyFill="1" applyBorder="1" applyAlignment="1">
      <alignment horizontal="center" vertical="center" wrapText="1"/>
    </xf>
    <xf numFmtId="43" fontId="10" fillId="0" borderId="8" xfId="1" applyFont="1" applyFill="1" applyBorder="1" applyAlignment="1">
      <alignment horizontal="center" vertical="center" wrapText="1"/>
    </xf>
    <xf numFmtId="0" fontId="11" fillId="0" borderId="9" xfId="0" applyFont="1" applyBorder="1"/>
    <xf numFmtId="0" fontId="12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2" xfId="0" applyFont="1" applyBorder="1"/>
    <xf numFmtId="0" fontId="4" fillId="0" borderId="4" xfId="0" applyFont="1" applyBorder="1" applyAlignment="1">
      <alignment horizontal="left"/>
    </xf>
    <xf numFmtId="165" fontId="4" fillId="0" borderId="10" xfId="2" applyNumberFormat="1" applyFont="1" applyFill="1" applyBorder="1" applyAlignment="1">
      <alignment horizontal="center"/>
    </xf>
    <xf numFmtId="166" fontId="4" fillId="0" borderId="10" xfId="0" applyNumberFormat="1" applyFont="1" applyBorder="1"/>
    <xf numFmtId="0" fontId="8" fillId="0" borderId="9" xfId="0" applyFont="1" applyBorder="1"/>
    <xf numFmtId="0" fontId="4" fillId="0" borderId="9" xfId="0" applyFont="1" applyBorder="1"/>
    <xf numFmtId="0" fontId="4" fillId="0" borderId="1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center"/>
    </xf>
    <xf numFmtId="0" fontId="13" fillId="0" borderId="0" xfId="0" applyFont="1"/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5" fontId="4" fillId="0" borderId="8" xfId="2" quotePrefix="1" applyNumberFormat="1" applyFont="1" applyFill="1" applyBorder="1" applyAlignment="1">
      <alignment horizontal="center"/>
    </xf>
    <xf numFmtId="166" fontId="4" fillId="0" borderId="8" xfId="0" quotePrefix="1" applyNumberFormat="1" applyFont="1" applyBorder="1" applyAlignment="1">
      <alignment horizontal="center"/>
    </xf>
    <xf numFmtId="167" fontId="4" fillId="0" borderId="0" xfId="0" applyNumberFormat="1" applyFont="1"/>
    <xf numFmtId="166" fontId="10" fillId="0" borderId="0" xfId="0" applyNumberFormat="1" applyFont="1" applyAlignment="1">
      <alignment horizontal="right"/>
    </xf>
    <xf numFmtId="166" fontId="10" fillId="0" borderId="0" xfId="0" applyNumberFormat="1" applyFont="1"/>
    <xf numFmtId="0" fontId="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4" fillId="0" borderId="9" xfId="0" quotePrefix="1" applyFont="1" applyBorder="1" applyAlignment="1">
      <alignment horizontal="right" vertical="center"/>
    </xf>
    <xf numFmtId="0" fontId="4" fillId="0" borderId="0" xfId="0" quotePrefix="1" applyFont="1" applyAlignment="1">
      <alignment horizontal="center"/>
    </xf>
    <xf numFmtId="166" fontId="12" fillId="0" borderId="11" xfId="0" applyNumberFormat="1" applyFont="1" applyBorder="1" applyAlignment="1">
      <alignment horizontal="right"/>
    </xf>
    <xf numFmtId="168" fontId="8" fillId="0" borderId="10" xfId="0" applyNumberFormat="1" applyFont="1" applyBorder="1"/>
    <xf numFmtId="167" fontId="12" fillId="0" borderId="11" xfId="0" applyNumberFormat="1" applyFont="1" applyBorder="1" applyAlignment="1">
      <alignment horizontal="right"/>
    </xf>
    <xf numFmtId="168" fontId="19" fillId="0" borderId="10" xfId="0" applyNumberFormat="1" applyFont="1" applyBorder="1"/>
    <xf numFmtId="166" fontId="9" fillId="0" borderId="11" xfId="0" applyNumberFormat="1" applyFont="1" applyBorder="1" applyAlignment="1">
      <alignment horizontal="right"/>
    </xf>
    <xf numFmtId="168" fontId="11" fillId="0" borderId="12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21" fillId="0" borderId="0" xfId="0" applyFont="1"/>
    <xf numFmtId="0" fontId="8" fillId="0" borderId="9" xfId="0" applyFont="1" applyBorder="1" applyAlignment="1">
      <alignment horizontal="left"/>
    </xf>
    <xf numFmtId="0" fontId="11" fillId="0" borderId="0" xfId="0" applyFont="1"/>
    <xf numFmtId="0" fontId="8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0" fontId="22" fillId="0" borderId="0" xfId="0" applyFont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3" fontId="10" fillId="0" borderId="2" xfId="1" applyFont="1" applyFill="1" applyBorder="1" applyAlignment="1">
      <alignment horizontal="center" vertical="center"/>
    </xf>
    <xf numFmtId="43" fontId="10" fillId="0" borderId="4" xfId="1" applyFont="1" applyFill="1" applyBorder="1" applyAlignment="1">
      <alignment horizontal="center" vertical="center"/>
    </xf>
    <xf numFmtId="43" fontId="10" fillId="0" borderId="6" xfId="1" applyFont="1" applyFill="1" applyBorder="1" applyAlignment="1">
      <alignment horizontal="center" vertical="center"/>
    </xf>
    <xf numFmtId="43" fontId="10" fillId="0" borderId="7" xfId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0" fillId="0" borderId="0" xfId="0" applyFont="1"/>
    <xf numFmtId="0" fontId="0" fillId="0" borderId="0" xfId="0" applyFont="1"/>
  </cellXfs>
  <cellStyles count="4">
    <cellStyle name="Comma" xfId="1" builtinId="3"/>
    <cellStyle name="Comma [0]" xfId="2" builtinId="6"/>
    <cellStyle name="Normal" xfId="0" builtinId="0"/>
    <cellStyle name="Normal 2" xfId="3" xr:uid="{FD632939-CFF1-4080-BC50-DF706DF07C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334010</xdr:colOff>
      <xdr:row>0</xdr:row>
      <xdr:rowOff>318146</xdr:rowOff>
    </xdr:from>
    <xdr:to>
      <xdr:col>16</xdr:col>
      <xdr:colOff>425450</xdr:colOff>
      <xdr:row>1</xdr:row>
      <xdr:rowOff>387348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A3947-0B5C-45CE-89C3-7E6E828FB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2210" y="318146"/>
          <a:ext cx="701040" cy="704202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0</xdr:colOff>
      <xdr:row>46</xdr:row>
      <xdr:rowOff>101600</xdr:rowOff>
    </xdr:to>
    <xdr:grpSp>
      <xdr:nvGrpSpPr>
        <xdr:cNvPr id="4" name="Group 22">
          <a:extLst>
            <a:ext uri="{FF2B5EF4-FFF2-40B4-BE49-F238E27FC236}">
              <a16:creationId xmlns:a16="http://schemas.microsoft.com/office/drawing/2014/main" id="{270B204B-A4CB-4A37-B79F-6A55DBD22B79}"/>
            </a:ext>
          </a:extLst>
        </xdr:cNvPr>
        <xdr:cNvGrpSpPr>
          <a:grpSpLocks/>
        </xdr:cNvGrpSpPr>
      </xdr:nvGrpSpPr>
      <xdr:grpSpPr bwMode="auto">
        <a:xfrm>
          <a:off x="4057650" y="9398000"/>
          <a:ext cx="0" cy="654050"/>
          <a:chOff x="0" y="0"/>
          <a:chExt cx="15682" cy="8053"/>
        </a:xfrm>
      </xdr:grpSpPr>
      <xdr:pic>
        <xdr:nvPicPr>
          <xdr:cNvPr id="5" name="Picture 2" descr="img001">
            <a:extLst>
              <a:ext uri="{FF2B5EF4-FFF2-40B4-BE49-F238E27FC236}">
                <a16:creationId xmlns:a16="http://schemas.microsoft.com/office/drawing/2014/main" id="{2DFD79D5-33B9-4B38-2FD4-BE3C8106C97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89" y="68"/>
            <a:ext cx="15300" cy="79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Picture 3" descr="img001">
            <a:extLst>
              <a:ext uri="{FF2B5EF4-FFF2-40B4-BE49-F238E27FC236}">
                <a16:creationId xmlns:a16="http://schemas.microsoft.com/office/drawing/2014/main" id="{4D3808BB-06E0-E713-AC71-F7CC32A638D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179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Picture 4" descr="img001">
            <a:extLst>
              <a:ext uri="{FF2B5EF4-FFF2-40B4-BE49-F238E27FC236}">
                <a16:creationId xmlns:a16="http://schemas.microsoft.com/office/drawing/2014/main" id="{C38880BD-6311-6764-0015-129CEE8EE6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2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Picture 5" descr="img001">
            <a:extLst>
              <a:ext uri="{FF2B5EF4-FFF2-40B4-BE49-F238E27FC236}">
                <a16:creationId xmlns:a16="http://schemas.microsoft.com/office/drawing/2014/main" id="{7E5FB715-2243-058D-57B9-92372808010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2" y="4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Picture 6" descr="img001">
            <a:extLst>
              <a:ext uri="{FF2B5EF4-FFF2-40B4-BE49-F238E27FC236}">
                <a16:creationId xmlns:a16="http://schemas.microsoft.com/office/drawing/2014/main" id="{502666E8-F670-730D-737B-A0D436D865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2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7" descr="img001">
            <a:extLst>
              <a:ext uri="{FF2B5EF4-FFF2-40B4-BE49-F238E27FC236}">
                <a16:creationId xmlns:a16="http://schemas.microsoft.com/office/drawing/2014/main" id="{633293D3-4FE2-2A6A-733F-D21093BE88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382" y="0"/>
            <a:ext cx="15300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Picture 8" descr="img001">
            <a:extLst>
              <a:ext uri="{FF2B5EF4-FFF2-40B4-BE49-F238E27FC236}">
                <a16:creationId xmlns:a16="http://schemas.microsoft.com/office/drawing/2014/main" id="{15A78658-DA65-40D9-17F4-123B8A464C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382" y="0"/>
            <a:ext cx="15300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Picture 9" descr="img001">
            <a:extLst>
              <a:ext uri="{FF2B5EF4-FFF2-40B4-BE49-F238E27FC236}">
                <a16:creationId xmlns:a16="http://schemas.microsoft.com/office/drawing/2014/main" id="{EF8F9E94-D4B9-A6AA-250B-D7F4495C1C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2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Picture 10" descr="img001">
            <a:extLst>
              <a:ext uri="{FF2B5EF4-FFF2-40B4-BE49-F238E27FC236}">
                <a16:creationId xmlns:a16="http://schemas.microsoft.com/office/drawing/2014/main" id="{48E1B377-6320-FC83-73DE-7958DA54448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0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" name="Picture 11" descr="img001">
            <a:extLst>
              <a:ext uri="{FF2B5EF4-FFF2-40B4-BE49-F238E27FC236}">
                <a16:creationId xmlns:a16="http://schemas.microsoft.com/office/drawing/2014/main" id="{DA13CFE4-CFC8-47FF-0526-87B45459B8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41" y="0"/>
            <a:ext cx="15300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Picture 12" descr="img001">
            <a:extLst>
              <a:ext uri="{FF2B5EF4-FFF2-40B4-BE49-F238E27FC236}">
                <a16:creationId xmlns:a16="http://schemas.microsoft.com/office/drawing/2014/main" id="{A3D68427-4299-3AF1-EAC6-2841AFF013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0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Picture 13" descr="img001">
            <a:extLst>
              <a:ext uri="{FF2B5EF4-FFF2-40B4-BE49-F238E27FC236}">
                <a16:creationId xmlns:a16="http://schemas.microsoft.com/office/drawing/2014/main" id="{8B2C5F1F-6244-D0EA-2BE0-E3F672E98D4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127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" name="Picture 14" descr="img001">
            <a:extLst>
              <a:ext uri="{FF2B5EF4-FFF2-40B4-BE49-F238E27FC236}">
                <a16:creationId xmlns:a16="http://schemas.microsoft.com/office/drawing/2014/main" id="{5E90BE23-EB24-4928-B5DB-316CBB5BBF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179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" name="Picture 15" descr="img001">
            <a:extLst>
              <a:ext uri="{FF2B5EF4-FFF2-40B4-BE49-F238E27FC236}">
                <a16:creationId xmlns:a16="http://schemas.microsoft.com/office/drawing/2014/main" id="{82020E48-F736-4E19-8465-6E3701088C4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5" y="68"/>
            <a:ext cx="15300" cy="79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3</xdr:col>
      <xdr:colOff>996950</xdr:colOff>
      <xdr:row>47</xdr:row>
      <xdr:rowOff>12700</xdr:rowOff>
    </xdr:from>
    <xdr:to>
      <xdr:col>3</xdr:col>
      <xdr:colOff>2161645</xdr:colOff>
      <xdr:row>49</xdr:row>
      <xdr:rowOff>112976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5A1C23-995C-45CE-B06E-3E4E1431D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898650" y="9798050"/>
          <a:ext cx="1164695" cy="4685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317500</xdr:colOff>
      <xdr:row>44</xdr:row>
      <xdr:rowOff>177800</xdr:rowOff>
    </xdr:from>
    <xdr:to>
      <xdr:col>9</xdr:col>
      <xdr:colOff>755916</xdr:colOff>
      <xdr:row>48</xdr:row>
      <xdr:rowOff>128060</xdr:rowOff>
    </xdr:to>
    <xdr:grpSp>
      <xdr:nvGrpSpPr>
        <xdr:cNvPr id="19" name="Group 22">
          <a:extLst>
            <a:ext uri="{FF2B5EF4-FFF2-40B4-BE49-F238E27FC236}">
              <a16:creationId xmlns:a16="http://schemas.microsoft.com/office/drawing/2014/main" id="{4018B429-6E25-4AFF-AFD1-5DC9D96566C5}"/>
            </a:ext>
          </a:extLst>
        </xdr:cNvPr>
        <xdr:cNvGrpSpPr>
          <a:grpSpLocks/>
        </xdr:cNvGrpSpPr>
      </xdr:nvGrpSpPr>
      <xdr:grpSpPr bwMode="auto">
        <a:xfrm>
          <a:off x="5130800" y="9759950"/>
          <a:ext cx="1384566" cy="686860"/>
          <a:chOff x="0" y="0"/>
          <a:chExt cx="15682" cy="8053"/>
        </a:xfrm>
      </xdr:grpSpPr>
      <xdr:pic>
        <xdr:nvPicPr>
          <xdr:cNvPr id="20" name="Picture 2" descr="img001">
            <a:extLst>
              <a:ext uri="{FF2B5EF4-FFF2-40B4-BE49-F238E27FC236}">
                <a16:creationId xmlns:a16="http://schemas.microsoft.com/office/drawing/2014/main" id="{81C33DA6-2081-A687-A82B-ECC6E7B9EBF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89" y="68"/>
            <a:ext cx="15300" cy="79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" name="Picture 3" descr="img001">
            <a:extLst>
              <a:ext uri="{FF2B5EF4-FFF2-40B4-BE49-F238E27FC236}">
                <a16:creationId xmlns:a16="http://schemas.microsoft.com/office/drawing/2014/main" id="{946D160B-5509-D036-6DFC-2D2571B1024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8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179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Picture 4" descr="img001">
            <a:extLst>
              <a:ext uri="{FF2B5EF4-FFF2-40B4-BE49-F238E27FC236}">
                <a16:creationId xmlns:a16="http://schemas.microsoft.com/office/drawing/2014/main" id="{7ED44F51-31A4-CD64-685E-60FA263001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2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" name="Picture 5" descr="img001">
            <a:extLst>
              <a:ext uri="{FF2B5EF4-FFF2-40B4-BE49-F238E27FC236}">
                <a16:creationId xmlns:a16="http://schemas.microsoft.com/office/drawing/2014/main" id="{0FFF03EE-C501-F759-3DB1-F6E175B06B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9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2" y="4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" name="Picture 6" descr="img001">
            <a:extLst>
              <a:ext uri="{FF2B5EF4-FFF2-40B4-BE49-F238E27FC236}">
                <a16:creationId xmlns:a16="http://schemas.microsoft.com/office/drawing/2014/main" id="{147F2C29-E1F0-97F2-59CD-F56FECD4672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2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5" name="Picture 7" descr="img001">
            <a:extLst>
              <a:ext uri="{FF2B5EF4-FFF2-40B4-BE49-F238E27FC236}">
                <a16:creationId xmlns:a16="http://schemas.microsoft.com/office/drawing/2014/main" id="{9388966E-2B38-6443-1DD1-DA55981FE0E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382" y="0"/>
            <a:ext cx="15300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8" descr="img001">
            <a:extLst>
              <a:ext uri="{FF2B5EF4-FFF2-40B4-BE49-F238E27FC236}">
                <a16:creationId xmlns:a16="http://schemas.microsoft.com/office/drawing/2014/main" id="{5CB609F7-9D1F-CDB5-00E8-B41D93E983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382" y="0"/>
            <a:ext cx="15300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" name="Picture 9" descr="img001">
            <a:extLst>
              <a:ext uri="{FF2B5EF4-FFF2-40B4-BE49-F238E27FC236}">
                <a16:creationId xmlns:a16="http://schemas.microsoft.com/office/drawing/2014/main" id="{3DA4DA18-795B-DBA3-D09B-F8615B9AF3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2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Picture 10" descr="img001">
            <a:extLst>
              <a:ext uri="{FF2B5EF4-FFF2-40B4-BE49-F238E27FC236}">
                <a16:creationId xmlns:a16="http://schemas.microsoft.com/office/drawing/2014/main" id="{7D4944B3-42CB-B46D-D41D-502B030C102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0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9" name="Picture 11" descr="img001">
            <a:extLst>
              <a:ext uri="{FF2B5EF4-FFF2-40B4-BE49-F238E27FC236}">
                <a16:creationId xmlns:a16="http://schemas.microsoft.com/office/drawing/2014/main" id="{69907718-3C8E-7CE8-A75E-9C0D209C4E9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4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41" y="0"/>
            <a:ext cx="15300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0" name="Picture 12" descr="img001">
            <a:extLst>
              <a:ext uri="{FF2B5EF4-FFF2-40B4-BE49-F238E27FC236}">
                <a16:creationId xmlns:a16="http://schemas.microsoft.com/office/drawing/2014/main" id="{5D0B2F71-6D32-B40E-7DD0-3BBB98E8EB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0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Picture 13" descr="img001">
            <a:extLst>
              <a:ext uri="{FF2B5EF4-FFF2-40B4-BE49-F238E27FC236}">
                <a16:creationId xmlns:a16="http://schemas.microsoft.com/office/drawing/2014/main" id="{8C555FC9-96CE-F45F-0FF3-DE660938F18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 cstate="print">
            <a:clrChange>
              <a:clrFrom>
                <a:srgbClr val="000000"/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127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2" name="Picture 14" descr="img001">
            <a:extLst>
              <a:ext uri="{FF2B5EF4-FFF2-40B4-BE49-F238E27FC236}">
                <a16:creationId xmlns:a16="http://schemas.microsoft.com/office/drawing/2014/main" id="{69351915-EB23-CBA5-B9EA-DC3460E9A9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179" y="0"/>
            <a:ext cx="15299" cy="79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3" name="Picture 15" descr="img001">
            <a:extLst>
              <a:ext uri="{FF2B5EF4-FFF2-40B4-BE49-F238E27FC236}">
                <a16:creationId xmlns:a16="http://schemas.microsoft.com/office/drawing/2014/main" id="{F0F245ED-CB21-578C-3BE6-67671A0F22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778" t="77127" r="13959" b="15388"/>
          <a:stretch>
            <a:fillRect/>
          </a:stretch>
        </xdr:blipFill>
        <xdr:spPr bwMode="auto">
          <a:xfrm>
            <a:off x="285" y="68"/>
            <a:ext cx="15300" cy="79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11</xdr:col>
      <xdr:colOff>2802954</xdr:colOff>
      <xdr:row>2</xdr:row>
      <xdr:rowOff>323548</xdr:rowOff>
    </xdr:from>
    <xdr:to>
      <xdr:col>11</xdr:col>
      <xdr:colOff>3467100</xdr:colOff>
      <xdr:row>7</xdr:row>
      <xdr:rowOff>3525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FDFF770-A70D-4F8E-A288-B1FB403CF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0480104" y="983948"/>
          <a:ext cx="664146" cy="6388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2F87-EDCF-47E6-A12B-D3F52DA48E79}">
  <dimension ref="B1:N43"/>
  <sheetViews>
    <sheetView tabSelected="1" workbookViewId="0">
      <selection activeCell="I11" sqref="I11"/>
    </sheetView>
  </sheetViews>
  <sheetFormatPr defaultRowHeight="14.5" x14ac:dyDescent="0.35"/>
  <cols>
    <col min="1" max="1" width="7.26953125" customWidth="1"/>
    <col min="2" max="3" width="2.81640625" customWidth="1"/>
    <col min="4" max="4" width="37.26953125" customWidth="1"/>
    <col min="5" max="5" width="2.81640625" customWidth="1"/>
    <col min="6" max="6" width="5.08984375" customWidth="1"/>
    <col min="7" max="7" width="3.1796875" customWidth="1"/>
    <col min="8" max="8" width="7.6328125" customWidth="1"/>
    <col min="9" max="9" width="13.54296875" customWidth="1"/>
    <col min="10" max="10" width="15.26953125" customWidth="1"/>
    <col min="11" max="11" width="6.6328125" customWidth="1"/>
  </cols>
  <sheetData>
    <row r="1" spans="2:13" ht="50" customHeight="1" x14ac:dyDescent="0.35"/>
    <row r="2" spans="2:13" ht="31" x14ac:dyDescent="0.7">
      <c r="B2" s="1" t="s">
        <v>0</v>
      </c>
      <c r="C2" s="1"/>
      <c r="D2" s="2"/>
      <c r="E2" s="2"/>
      <c r="F2" s="2"/>
      <c r="G2" s="47" t="s">
        <v>1</v>
      </c>
    </row>
    <row r="3" spans="2:13" ht="15.5" x14ac:dyDescent="0.35">
      <c r="B3" s="3" t="s">
        <v>3</v>
      </c>
      <c r="C3" s="3"/>
      <c r="D3" s="3"/>
      <c r="E3" s="3"/>
      <c r="F3" s="3"/>
      <c r="G3" s="4" t="s">
        <v>4</v>
      </c>
      <c r="H3" s="5"/>
      <c r="I3" s="6" t="s">
        <v>30</v>
      </c>
      <c r="J3" s="7"/>
      <c r="L3" s="65" t="s">
        <v>2</v>
      </c>
    </row>
    <row r="4" spans="2:13" ht="15.5" x14ac:dyDescent="0.35">
      <c r="B4" s="3" t="s">
        <v>5</v>
      </c>
      <c r="C4" s="3"/>
      <c r="D4" s="3"/>
      <c r="E4" s="3"/>
      <c r="F4" s="3"/>
      <c r="G4" s="8" t="s">
        <v>6</v>
      </c>
      <c r="H4" s="5"/>
      <c r="I4" s="8" t="s">
        <v>31</v>
      </c>
      <c r="J4" s="9"/>
      <c r="L4" s="73" t="s">
        <v>41</v>
      </c>
      <c r="M4" s="65"/>
    </row>
    <row r="5" spans="2:13" ht="19" thickBot="1" x14ac:dyDescent="0.5">
      <c r="B5" s="10" t="s">
        <v>7</v>
      </c>
      <c r="C5" s="10"/>
      <c r="D5" s="10"/>
      <c r="E5" s="10"/>
      <c r="F5" s="10"/>
      <c r="G5" s="11"/>
      <c r="H5" s="11"/>
      <c r="I5" s="12"/>
      <c r="J5" s="12"/>
      <c r="L5" s="87" t="s">
        <v>43</v>
      </c>
      <c r="M5" s="14"/>
    </row>
    <row r="6" spans="2:13" ht="18.5" x14ac:dyDescent="0.45">
      <c r="B6" s="3"/>
      <c r="C6" s="3"/>
      <c r="D6" s="3"/>
      <c r="E6" s="3"/>
      <c r="F6" s="3"/>
      <c r="G6" s="5"/>
      <c r="H6" s="5"/>
      <c r="I6" s="13"/>
      <c r="J6" s="13"/>
      <c r="L6" s="66" t="s">
        <v>34</v>
      </c>
      <c r="M6" s="14"/>
    </row>
    <row r="7" spans="2:13" ht="18.5" x14ac:dyDescent="0.45">
      <c r="B7" s="3"/>
      <c r="C7" s="3"/>
      <c r="D7" s="3"/>
      <c r="E7" s="3"/>
      <c r="F7" s="3"/>
      <c r="G7" s="5"/>
      <c r="H7" s="5"/>
      <c r="I7" s="13"/>
      <c r="J7" s="13"/>
      <c r="L7" s="65" t="s">
        <v>33</v>
      </c>
      <c r="M7" s="48"/>
    </row>
    <row r="8" spans="2:13" ht="18.5" x14ac:dyDescent="0.45">
      <c r="B8" s="14" t="s">
        <v>2</v>
      </c>
      <c r="C8" s="3"/>
      <c r="D8" s="3"/>
      <c r="E8" s="3"/>
      <c r="F8" s="3"/>
      <c r="G8" s="5"/>
      <c r="H8" s="5"/>
      <c r="I8" s="13"/>
      <c r="J8" s="13"/>
      <c r="L8" s="59" t="s">
        <v>32</v>
      </c>
      <c r="M8" s="14"/>
    </row>
    <row r="9" spans="2:13" ht="18.5" x14ac:dyDescent="0.45">
      <c r="B9" s="48" t="s">
        <v>34</v>
      </c>
      <c r="C9" s="14"/>
      <c r="D9" s="3"/>
      <c r="E9" s="3"/>
      <c r="F9" s="3"/>
      <c r="G9" s="13"/>
      <c r="H9" s="13"/>
      <c r="I9" s="13"/>
      <c r="J9" s="13"/>
      <c r="L9" s="59" t="s">
        <v>42</v>
      </c>
    </row>
    <row r="10" spans="2:13" ht="18.5" x14ac:dyDescent="0.45">
      <c r="B10" s="86" t="s">
        <v>33</v>
      </c>
      <c r="C10" s="14"/>
      <c r="D10" s="3"/>
      <c r="E10" s="3"/>
      <c r="F10" s="3"/>
      <c r="G10" s="13"/>
      <c r="H10" s="13"/>
      <c r="I10" s="13"/>
      <c r="J10" s="13"/>
      <c r="L10" s="59" t="s">
        <v>44</v>
      </c>
    </row>
    <row r="11" spans="2:13" ht="18.5" x14ac:dyDescent="0.45">
      <c r="B11" s="64" t="s">
        <v>46</v>
      </c>
      <c r="C11" s="48"/>
      <c r="D11" s="3"/>
      <c r="E11" s="3"/>
      <c r="F11" s="3"/>
      <c r="G11" s="13"/>
      <c r="H11" s="13"/>
      <c r="I11" s="13"/>
      <c r="J11" s="13"/>
      <c r="L11" s="67"/>
    </row>
    <row r="12" spans="2:13" ht="18.5" x14ac:dyDescent="0.45">
      <c r="B12" s="64" t="s">
        <v>45</v>
      </c>
      <c r="C12" s="48"/>
      <c r="D12" s="3"/>
      <c r="E12" s="3"/>
      <c r="F12" s="3"/>
      <c r="G12" s="13"/>
      <c r="H12" s="13"/>
      <c r="I12" s="13"/>
      <c r="J12" s="13"/>
      <c r="L12" s="67"/>
    </row>
    <row r="13" spans="2:13" ht="18.5" x14ac:dyDescent="0.45">
      <c r="B13" s="64" t="s">
        <v>42</v>
      </c>
      <c r="C13" s="14"/>
      <c r="D13" s="15"/>
      <c r="E13" s="15"/>
      <c r="F13" s="16"/>
      <c r="G13" s="5"/>
      <c r="H13" s="5"/>
      <c r="I13" s="5"/>
      <c r="L13" s="67"/>
    </row>
    <row r="14" spans="2:13" ht="15" customHeight="1" x14ac:dyDescent="0.45">
      <c r="B14" s="64"/>
      <c r="C14" s="17"/>
      <c r="D14" s="18"/>
      <c r="E14" s="18"/>
      <c r="F14" s="8"/>
      <c r="G14" s="5"/>
      <c r="H14" s="5"/>
      <c r="I14" s="5"/>
      <c r="J14" s="5"/>
    </row>
    <row r="15" spans="2:13" ht="15" customHeight="1" thickBot="1" x14ac:dyDescent="0.5">
      <c r="B15" s="64"/>
      <c r="C15" s="17"/>
      <c r="D15" s="18"/>
      <c r="E15" s="18"/>
      <c r="F15" s="8"/>
      <c r="G15" s="5"/>
      <c r="H15" s="5"/>
      <c r="I15" s="5"/>
      <c r="J15" s="5"/>
    </row>
    <row r="16" spans="2:13" ht="15.5" x14ac:dyDescent="0.35">
      <c r="B16" s="80" t="s">
        <v>8</v>
      </c>
      <c r="C16" s="81"/>
      <c r="D16" s="81"/>
      <c r="E16" s="81"/>
      <c r="F16" s="82"/>
      <c r="G16" s="76" t="s">
        <v>9</v>
      </c>
      <c r="H16" s="77"/>
      <c r="I16" s="19" t="s">
        <v>10</v>
      </c>
      <c r="J16" s="74" t="s">
        <v>11</v>
      </c>
    </row>
    <row r="17" spans="2:14" ht="16" thickBot="1" x14ac:dyDescent="0.4">
      <c r="B17" s="83"/>
      <c r="C17" s="84"/>
      <c r="D17" s="84"/>
      <c r="E17" s="84"/>
      <c r="F17" s="85"/>
      <c r="G17" s="78"/>
      <c r="H17" s="79"/>
      <c r="I17" s="20" t="s">
        <v>12</v>
      </c>
      <c r="J17" s="75"/>
    </row>
    <row r="18" spans="2:14" ht="15.5" x14ac:dyDescent="0.35">
      <c r="B18" s="21" t="s">
        <v>26</v>
      </c>
      <c r="C18" s="61"/>
      <c r="D18" s="22"/>
      <c r="E18" s="22"/>
      <c r="F18" s="23"/>
      <c r="G18" s="24"/>
      <c r="H18" s="25"/>
      <c r="I18" s="26"/>
      <c r="J18" s="27"/>
    </row>
    <row r="19" spans="2:14" ht="15.5" x14ac:dyDescent="0.35">
      <c r="B19" s="28" t="s">
        <v>22</v>
      </c>
      <c r="C19" s="17"/>
      <c r="D19" s="22"/>
      <c r="E19" s="22"/>
      <c r="F19" s="23"/>
      <c r="G19" s="29"/>
      <c r="H19" s="30"/>
      <c r="I19" s="26"/>
      <c r="J19" s="27"/>
    </row>
    <row r="20" spans="2:14" ht="15.5" x14ac:dyDescent="0.35">
      <c r="B20" s="60" t="s">
        <v>23</v>
      </c>
      <c r="C20" s="62"/>
      <c r="D20" s="22"/>
      <c r="E20" s="22"/>
      <c r="F20" s="23"/>
      <c r="G20" s="29"/>
      <c r="H20" s="30"/>
      <c r="I20" s="26"/>
      <c r="J20" s="27"/>
    </row>
    <row r="21" spans="2:14" s="33" customFormat="1" ht="15.5" x14ac:dyDescent="0.35">
      <c r="B21" s="49" t="s">
        <v>29</v>
      </c>
      <c r="C21" s="9" t="s">
        <v>27</v>
      </c>
      <c r="D21" s="3"/>
      <c r="E21" s="50"/>
      <c r="F21" s="31"/>
      <c r="G21" s="32"/>
      <c r="H21" s="30"/>
      <c r="I21" s="26"/>
      <c r="J21" s="27"/>
      <c r="N21" s="70"/>
    </row>
    <row r="22" spans="2:14" s="33" customFormat="1" ht="15.5" x14ac:dyDescent="0.35">
      <c r="B22" s="49"/>
      <c r="C22" s="50" t="s">
        <v>35</v>
      </c>
      <c r="D22" s="68" t="s">
        <v>37</v>
      </c>
      <c r="E22" s="69"/>
      <c r="F22" s="31"/>
      <c r="G22" s="32">
        <v>3</v>
      </c>
      <c r="H22" s="30" t="s">
        <v>24</v>
      </c>
      <c r="I22" s="26">
        <v>5750000</v>
      </c>
      <c r="J22" s="27">
        <f t="shared" ref="J22:J24" si="0">G22*I22</f>
        <v>17250000</v>
      </c>
      <c r="L22" s="46"/>
      <c r="N22" s="70"/>
    </row>
    <row r="23" spans="2:14" s="33" customFormat="1" ht="15.5" x14ac:dyDescent="0.35">
      <c r="B23" s="49"/>
      <c r="C23" s="50" t="s">
        <v>36</v>
      </c>
      <c r="D23" s="3" t="s">
        <v>38</v>
      </c>
      <c r="E23" s="50"/>
      <c r="F23" s="31"/>
      <c r="G23" s="32">
        <v>3</v>
      </c>
      <c r="H23" s="30" t="s">
        <v>24</v>
      </c>
      <c r="I23" s="26">
        <v>5750000</v>
      </c>
      <c r="J23" s="27">
        <f t="shared" si="0"/>
        <v>17250000</v>
      </c>
      <c r="L23" s="46"/>
      <c r="N23" s="71"/>
    </row>
    <row r="24" spans="2:14" s="33" customFormat="1" ht="15.5" x14ac:dyDescent="0.35">
      <c r="B24" s="49"/>
      <c r="C24" s="50" t="s">
        <v>40</v>
      </c>
      <c r="D24" s="3" t="s">
        <v>39</v>
      </c>
      <c r="E24" s="50"/>
      <c r="F24" s="31"/>
      <c r="G24" s="32">
        <v>3</v>
      </c>
      <c r="H24" s="30" t="s">
        <v>24</v>
      </c>
      <c r="I24" s="26">
        <v>5750000</v>
      </c>
      <c r="J24" s="27">
        <f t="shared" si="0"/>
        <v>17250000</v>
      </c>
      <c r="L24" s="46"/>
      <c r="N24" s="71"/>
    </row>
    <row r="25" spans="2:14" s="33" customFormat="1" ht="16" thickBot="1" x14ac:dyDescent="0.4">
      <c r="B25" s="34"/>
      <c r="C25" s="35"/>
      <c r="D25" s="35"/>
      <c r="E25" s="35"/>
      <c r="F25" s="36"/>
      <c r="G25" s="37"/>
      <c r="H25" s="38"/>
      <c r="I25" s="39"/>
      <c r="J25" s="40"/>
      <c r="L25" s="46"/>
      <c r="N25" s="71"/>
    </row>
    <row r="26" spans="2:14" s="33" customFormat="1" ht="15.5" x14ac:dyDescent="0.35">
      <c r="B26" s="5"/>
      <c r="C26" s="5"/>
      <c r="D26" s="3"/>
      <c r="E26" s="3"/>
      <c r="F26" s="13"/>
      <c r="G26" s="13">
        <f>SUM(G22:G25)</f>
        <v>9</v>
      </c>
      <c r="H26" s="63" t="s">
        <v>24</v>
      </c>
      <c r="I26" s="51" t="s">
        <v>18</v>
      </c>
      <c r="J26" s="52">
        <f>SUM(J21:J25)</f>
        <v>51750000</v>
      </c>
      <c r="L26" s="46"/>
      <c r="N26" s="71"/>
    </row>
    <row r="27" spans="2:14" s="33" customFormat="1" ht="15.5" x14ac:dyDescent="0.35">
      <c r="B27" s="5"/>
      <c r="C27" s="5"/>
      <c r="D27" s="3"/>
      <c r="E27" s="3"/>
      <c r="F27" s="13"/>
      <c r="G27" s="41"/>
      <c r="H27" s="41"/>
      <c r="I27" s="53" t="s">
        <v>25</v>
      </c>
      <c r="J27" s="54">
        <f>J26*11%</f>
        <v>5692500</v>
      </c>
      <c r="L27" s="46"/>
      <c r="N27" s="71"/>
    </row>
    <row r="28" spans="2:14" ht="15" customHeight="1" thickBot="1" x14ac:dyDescent="0.4">
      <c r="B28" s="5"/>
      <c r="C28" s="5"/>
      <c r="D28" s="3"/>
      <c r="E28" s="3"/>
      <c r="F28" s="13"/>
      <c r="G28" s="41"/>
      <c r="H28" s="41"/>
      <c r="I28" s="55" t="s">
        <v>13</v>
      </c>
      <c r="J28" s="56">
        <f>SUM(J26:J27)</f>
        <v>57442500</v>
      </c>
      <c r="N28" s="71"/>
    </row>
    <row r="29" spans="2:14" ht="16" thickTop="1" x14ac:dyDescent="0.35">
      <c r="B29" s="5"/>
      <c r="C29" s="5"/>
      <c r="D29" s="3"/>
      <c r="E29" s="3"/>
      <c r="F29" s="13"/>
      <c r="G29" s="41"/>
      <c r="H29" s="41"/>
      <c r="I29" s="42"/>
      <c r="J29" s="43"/>
      <c r="N29" s="72"/>
    </row>
    <row r="30" spans="2:14" ht="15.5" x14ac:dyDescent="0.35">
      <c r="B30" s="3" t="s">
        <v>14</v>
      </c>
      <c r="C30" s="3"/>
      <c r="D30" s="3"/>
      <c r="E30" s="3"/>
      <c r="F30" s="13"/>
      <c r="G30" s="41"/>
      <c r="H30" s="41"/>
      <c r="I30" s="42"/>
      <c r="J30" s="43"/>
      <c r="N30" s="72"/>
    </row>
    <row r="31" spans="2:14" ht="15.5" x14ac:dyDescent="0.35">
      <c r="B31" s="44" t="s">
        <v>28</v>
      </c>
      <c r="C31" s="44"/>
      <c r="D31" s="3"/>
      <c r="E31" s="3"/>
      <c r="F31" s="13"/>
      <c r="G31" s="41"/>
      <c r="H31" s="41"/>
      <c r="I31" s="42"/>
      <c r="J31" s="43"/>
      <c r="N31" s="72"/>
    </row>
    <row r="32" spans="2:14" ht="15.5" x14ac:dyDescent="0.35">
      <c r="B32" s="44"/>
      <c r="C32" s="44"/>
      <c r="D32" s="3"/>
      <c r="E32" s="3"/>
      <c r="F32" s="13"/>
      <c r="G32" s="41"/>
      <c r="H32" s="41"/>
      <c r="I32" s="42"/>
      <c r="J32" s="43"/>
      <c r="N32" s="72"/>
    </row>
    <row r="33" spans="2:10" ht="15.5" x14ac:dyDescent="0.35">
      <c r="B33" s="44"/>
      <c r="C33" s="44"/>
      <c r="D33" s="3"/>
      <c r="E33" s="3"/>
      <c r="F33" s="13"/>
      <c r="G33" s="41"/>
      <c r="H33" s="41"/>
      <c r="I33" s="42"/>
      <c r="J33" s="43"/>
    </row>
    <row r="34" spans="2:10" ht="15.5" x14ac:dyDescent="0.35">
      <c r="B34" s="3"/>
      <c r="C34" s="3"/>
      <c r="D34" s="3"/>
      <c r="E34" s="3"/>
      <c r="F34" s="3"/>
      <c r="G34" s="3"/>
      <c r="H34" s="3"/>
      <c r="I34" s="3"/>
      <c r="J34" s="3"/>
    </row>
    <row r="35" spans="2:10" ht="15.5" x14ac:dyDescent="0.35">
      <c r="B35" s="3"/>
      <c r="C35" s="3"/>
      <c r="D35" s="3"/>
      <c r="E35" s="3"/>
      <c r="F35" s="3"/>
      <c r="G35" s="3"/>
      <c r="H35" s="3"/>
      <c r="I35" s="3"/>
      <c r="J35" s="3"/>
    </row>
    <row r="36" spans="2:10" ht="15.5" x14ac:dyDescent="0.35">
      <c r="B36" s="45" t="s">
        <v>15</v>
      </c>
      <c r="C36" s="45"/>
      <c r="D36" s="45"/>
      <c r="E36" s="45"/>
      <c r="F36" s="3"/>
      <c r="G36" s="3"/>
      <c r="H36" s="3"/>
      <c r="I36" s="3"/>
      <c r="J36" s="3"/>
    </row>
    <row r="37" spans="2:10" ht="15.5" x14ac:dyDescent="0.35">
      <c r="B37" s="3" t="s">
        <v>16</v>
      </c>
      <c r="C37" s="3"/>
      <c r="D37" s="3"/>
      <c r="E37" s="3"/>
      <c r="F37" s="3"/>
      <c r="G37" s="3"/>
      <c r="H37" s="3"/>
      <c r="I37" s="3"/>
      <c r="J37" s="3"/>
    </row>
    <row r="38" spans="2:10" ht="15.5" x14ac:dyDescent="0.35">
      <c r="B38" s="3"/>
      <c r="C38" s="3"/>
      <c r="D38" s="3"/>
      <c r="E38" s="3"/>
      <c r="F38" s="3"/>
      <c r="G38" s="3"/>
      <c r="H38" s="3"/>
      <c r="I38" s="3"/>
      <c r="J38" s="3"/>
    </row>
    <row r="39" spans="2:10" ht="15.5" x14ac:dyDescent="0.35">
      <c r="B39" s="3"/>
      <c r="C39" s="3"/>
      <c r="D39" s="3"/>
      <c r="E39" s="3"/>
      <c r="F39" s="3"/>
      <c r="G39" s="3"/>
      <c r="H39" s="3"/>
      <c r="I39" s="3"/>
      <c r="J39" s="3"/>
    </row>
    <row r="40" spans="2:10" x14ac:dyDescent="0.35">
      <c r="B40" s="57" t="s">
        <v>17</v>
      </c>
      <c r="C40" s="57"/>
      <c r="F40" s="33"/>
      <c r="G40" s="33"/>
      <c r="H40" s="33"/>
      <c r="I40" s="33"/>
      <c r="J40" s="33"/>
    </row>
    <row r="41" spans="2:10" x14ac:dyDescent="0.35">
      <c r="B41" s="58" t="s">
        <v>19</v>
      </c>
      <c r="C41" s="58"/>
      <c r="F41" s="33"/>
      <c r="G41" s="33"/>
      <c r="H41" s="33"/>
      <c r="I41" s="33"/>
      <c r="J41" s="33"/>
    </row>
    <row r="42" spans="2:10" x14ac:dyDescent="0.35">
      <c r="B42" s="59" t="s">
        <v>21</v>
      </c>
      <c r="C42" s="59"/>
      <c r="D42" s="33"/>
      <c r="E42" s="33"/>
      <c r="F42" s="33"/>
      <c r="G42" s="33"/>
      <c r="H42" s="33"/>
      <c r="I42" s="33"/>
      <c r="J42" s="33"/>
    </row>
    <row r="43" spans="2:10" x14ac:dyDescent="0.35">
      <c r="B43" s="59" t="s">
        <v>20</v>
      </c>
      <c r="C43" s="59"/>
      <c r="D43" s="33"/>
      <c r="E43" s="33"/>
      <c r="F43" s="33"/>
      <c r="G43" s="33"/>
      <c r="H43" s="33"/>
      <c r="I43" s="33"/>
      <c r="J43" s="33"/>
    </row>
  </sheetData>
  <mergeCells count="3">
    <mergeCell ref="J16:J17"/>
    <mergeCell ref="G16:H17"/>
    <mergeCell ref="B16:F17"/>
  </mergeCells>
  <pageMargins left="0.9" right="0.7" top="0.6" bottom="0.75" header="0.3" footer="0.3"/>
  <pageSetup paperSize="9" scale="9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tkmpn</vt:lpstr>
      <vt:lpstr>tkmpn!Print_Area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ux325ea-f8ma@outlook.com</dc:creator>
  <cp:lastModifiedBy>um425uaz-6cx5@outlook.com</cp:lastModifiedBy>
  <cp:lastPrinted>2026-10-13T04:49:29Z</cp:lastPrinted>
  <dcterms:created xsi:type="dcterms:W3CDTF">2025-05-15T06:31:14Z</dcterms:created>
  <dcterms:modified xsi:type="dcterms:W3CDTF">2026-10-13T04:51:10Z</dcterms:modified>
</cp:coreProperties>
</file>