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ICHA\7. TKMPN\TKMPN 2026 PADANG\KWITANSI\"/>
    </mc:Choice>
  </mc:AlternateContent>
  <xr:revisionPtr revIDLastSave="0" documentId="13_ncr:1_{F0B1B9CB-8E17-490A-AE35-F4978723D3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witansi" sheetId="4" r:id="rId1"/>
    <sheet name="Sheet1" sheetId="1" r:id="rId2"/>
    <sheet name="TABEL LUNAS" sheetId="5" r:id="rId3"/>
    <sheet name="Sheet2" sheetId="2" r:id="rId4"/>
    <sheet name="kas" sheetId="6" r:id="rId5"/>
    <sheet name="Sheet3" sheetId="3" r:id="rId6"/>
    <sheet name="Sheet4" sheetId="7" r:id="rId7"/>
  </sheets>
  <definedNames>
    <definedName name="_xlnm.Print_Area" localSheetId="4">kas!$B$1:$H$69</definedName>
    <definedName name="_xlnm.Print_Area" localSheetId="0">kwitansi!$A$1:$J$21</definedName>
    <definedName name="_xlnm.Print_Area" localSheetId="2">'TABEL LUNAS'!$B$1:$M$1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7" l="1"/>
  <c r="B34" i="7"/>
  <c r="J15" i="7"/>
  <c r="L16" i="3"/>
  <c r="L15" i="3"/>
  <c r="L14" i="3"/>
  <c r="L13" i="3"/>
  <c r="H144" i="6"/>
  <c r="E127" i="6"/>
  <c r="Q108" i="6"/>
  <c r="L108" i="6"/>
  <c r="E104" i="6"/>
  <c r="E103" i="6"/>
  <c r="E85" i="6"/>
  <c r="E50" i="6"/>
  <c r="H8" i="6"/>
  <c r="F4" i="6"/>
  <c r="L17" i="3" l="1"/>
  <c r="C12" i="2"/>
  <c r="C11" i="2"/>
  <c r="C10" i="2"/>
  <c r="C9" i="2"/>
  <c r="C8" i="2"/>
  <c r="C7" i="2"/>
  <c r="C6" i="2" l="1"/>
  <c r="X5" i="2"/>
  <c r="X6" i="2" s="1"/>
  <c r="D6" i="2" s="1"/>
  <c r="T5" i="2"/>
  <c r="T6" i="2" s="1"/>
  <c r="F6" i="2" s="1"/>
  <c r="R5" i="2"/>
  <c r="B5" i="2" s="1"/>
  <c r="N5" i="2"/>
  <c r="J5" i="2"/>
  <c r="J6" i="2" s="1"/>
  <c r="H5" i="2"/>
  <c r="F5" i="2"/>
  <c r="C5" i="2"/>
  <c r="F4" i="2"/>
  <c r="D4" i="2"/>
  <c r="C4" i="2"/>
  <c r="B4" i="2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J33" i="1"/>
  <c r="J32" i="1"/>
  <c r="J31" i="1"/>
  <c r="J24" i="1"/>
  <c r="T11" i="1"/>
  <c r="Q11" i="1"/>
  <c r="O11" i="1"/>
  <c r="N11" i="1"/>
  <c r="M11" i="1"/>
  <c r="L11" i="1"/>
  <c r="T10" i="1"/>
  <c r="R10" i="1"/>
  <c r="Q10" i="1"/>
  <c r="P10" i="1"/>
  <c r="O10" i="1"/>
  <c r="N10" i="1"/>
  <c r="M10" i="1"/>
  <c r="L10" i="1"/>
  <c r="T9" i="1"/>
  <c r="Q9" i="1"/>
  <c r="O9" i="1"/>
  <c r="N9" i="1"/>
  <c r="M9" i="1"/>
  <c r="L9" i="1"/>
  <c r="T8" i="1"/>
  <c r="S8" i="1"/>
  <c r="Q8" i="1"/>
  <c r="O8" i="1"/>
  <c r="M8" i="1"/>
  <c r="T7" i="1"/>
  <c r="Q7" i="1"/>
  <c r="L7" i="1"/>
  <c r="T6" i="1"/>
  <c r="S6" i="1"/>
  <c r="Q6" i="1"/>
  <c r="O6" i="1"/>
  <c r="N6" i="1"/>
  <c r="L6" i="1"/>
  <c r="T5" i="1"/>
  <c r="R5" i="1"/>
  <c r="Q5" i="1"/>
  <c r="O5" i="1"/>
  <c r="N5" i="1"/>
  <c r="M5" i="1"/>
  <c r="L5" i="1"/>
  <c r="T4" i="1"/>
  <c r="S4" i="1"/>
  <c r="Q4" i="1"/>
  <c r="J1" i="4"/>
  <c r="B121" i="5" s="1"/>
  <c r="H6" i="2" l="1"/>
  <c r="D5" i="2"/>
  <c r="R6" i="2"/>
  <c r="B120" i="5"/>
  <c r="B33" i="5"/>
  <c r="B37" i="5"/>
  <c r="B41" i="5"/>
  <c r="B45" i="5"/>
  <c r="B49" i="5"/>
  <c r="B53" i="5"/>
  <c r="B57" i="5"/>
  <c r="B61" i="5"/>
  <c r="B65" i="5"/>
  <c r="B69" i="5"/>
  <c r="B73" i="5"/>
  <c r="B77" i="5"/>
  <c r="B81" i="5"/>
  <c r="B85" i="5"/>
  <c r="B89" i="5"/>
  <c r="B93" i="5"/>
  <c r="B97" i="5"/>
  <c r="B101" i="5"/>
  <c r="B105" i="5"/>
  <c r="B109" i="5"/>
  <c r="B113" i="5"/>
  <c r="B117" i="5"/>
  <c r="B36" i="5"/>
  <c r="B40" i="5"/>
  <c r="B44" i="5"/>
  <c r="B48" i="5"/>
  <c r="B52" i="5"/>
  <c r="B56" i="5"/>
  <c r="B60" i="5"/>
  <c r="B64" i="5"/>
  <c r="B68" i="5"/>
  <c r="B72" i="5"/>
  <c r="B76" i="5"/>
  <c r="B80" i="5"/>
  <c r="B84" i="5"/>
  <c r="B88" i="5"/>
  <c r="B92" i="5"/>
  <c r="B96" i="5"/>
  <c r="B100" i="5"/>
  <c r="B104" i="5"/>
  <c r="B108" i="5"/>
  <c r="B112" i="5"/>
  <c r="B116" i="5"/>
  <c r="B35" i="5"/>
  <c r="B51" i="5"/>
  <c r="B67" i="5"/>
  <c r="B83" i="5"/>
  <c r="B95" i="5"/>
  <c r="B103" i="5"/>
  <c r="B111" i="5"/>
  <c r="B119" i="5"/>
  <c r="B123" i="5"/>
  <c r="B39" i="5"/>
  <c r="B43" i="5"/>
  <c r="B47" i="5"/>
  <c r="B55" i="5"/>
  <c r="B59" i="5"/>
  <c r="B63" i="5"/>
  <c r="B71" i="5"/>
  <c r="B75" i="5"/>
  <c r="B79" i="5"/>
  <c r="B87" i="5"/>
  <c r="B91" i="5"/>
  <c r="B99" i="5"/>
  <c r="B107" i="5"/>
  <c r="B115" i="5"/>
  <c r="B34" i="5"/>
  <c r="B38" i="5"/>
  <c r="B42" i="5"/>
  <c r="B46" i="5"/>
  <c r="B50" i="5"/>
  <c r="B54" i="5"/>
  <c r="B58" i="5"/>
  <c r="B62" i="5"/>
  <c r="B66" i="5"/>
  <c r="B70" i="5"/>
  <c r="B74" i="5"/>
  <c r="B78" i="5"/>
  <c r="B82" i="5"/>
  <c r="B86" i="5"/>
  <c r="B90" i="5"/>
  <c r="B94" i="5"/>
  <c r="B98" i="5"/>
  <c r="B102" i="5"/>
  <c r="B106" i="5"/>
  <c r="B110" i="5"/>
  <c r="B114" i="5"/>
  <c r="B118" i="5"/>
  <c r="B122" i="5"/>
  <c r="N6" i="2" l="1"/>
  <c r="B6" i="2"/>
  <c r="R7" i="2" l="1"/>
  <c r="R8" i="2" s="1"/>
  <c r="H7" i="2"/>
  <c r="H8" i="2" s="1"/>
  <c r="N7" i="2"/>
  <c r="N8" i="2" s="1"/>
  <c r="T7" i="2"/>
  <c r="T8" i="2" s="1"/>
  <c r="T9" i="2" s="1"/>
  <c r="X7" i="2"/>
  <c r="X8" i="2" s="1"/>
  <c r="J7" i="2"/>
  <c r="J8" i="2" s="1"/>
  <c r="F5" i="6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B7" i="2"/>
  <c r="D7" i="2"/>
  <c r="R4" i="1" l="1"/>
  <c r="B8" i="2"/>
  <c r="R9" i="2"/>
  <c r="R8" i="1"/>
  <c r="R6" i="1"/>
  <c r="R11" i="1"/>
  <c r="R7" i="1"/>
  <c r="F7" i="2"/>
  <c r="S25" i="1"/>
  <c r="N8" i="1"/>
  <c r="H9" i="2"/>
  <c r="H10" i="2" s="1"/>
  <c r="H11" i="2" s="1"/>
  <c r="H12" i="2" s="1"/>
  <c r="S10" i="1"/>
  <c r="J10" i="1" s="1"/>
  <c r="D8" i="2"/>
  <c r="X9" i="2"/>
  <c r="X10" i="2" s="1"/>
  <c r="T10" i="2"/>
  <c r="F9" i="2"/>
  <c r="P8" i="1"/>
  <c r="J9" i="2"/>
  <c r="J10" i="2" s="1"/>
  <c r="J11" i="2" s="1"/>
  <c r="J12" i="2" s="1"/>
  <c r="S7" i="1"/>
  <c r="S9" i="1"/>
  <c r="S5" i="1"/>
  <c r="R9" i="1"/>
  <c r="J28" i="1"/>
  <c r="J23" i="1"/>
  <c r="R10" i="2"/>
  <c r="F8" i="2"/>
  <c r="S11" i="1"/>
  <c r="N9" i="2"/>
  <c r="N10" i="2" s="1"/>
  <c r="O7" i="1" l="1"/>
  <c r="B9" i="2"/>
  <c r="J25" i="1"/>
  <c r="L4" i="1"/>
  <c r="L8" i="1"/>
  <c r="J8" i="1" s="1"/>
  <c r="D9" i="2"/>
  <c r="N4" i="1"/>
  <c r="N7" i="1"/>
  <c r="O4" i="1"/>
  <c r="P9" i="1"/>
  <c r="J9" i="1" s="1"/>
  <c r="X11" i="2"/>
  <c r="D10" i="2"/>
  <c r="P6" i="1"/>
  <c r="N11" i="2"/>
  <c r="P7" i="1"/>
  <c r="M6" i="1"/>
  <c r="R11" i="2"/>
  <c r="B10" i="2"/>
  <c r="F10" i="2"/>
  <c r="T11" i="2"/>
  <c r="N12" i="2" l="1"/>
  <c r="P11" i="1" s="1"/>
  <c r="J11" i="1" s="1"/>
  <c r="P4" i="1"/>
  <c r="P5" i="1"/>
  <c r="J5" i="1" s="1"/>
  <c r="E10" i="3"/>
  <c r="J6" i="1"/>
  <c r="T12" i="2"/>
  <c r="F12" i="2" s="1"/>
  <c r="F11" i="2"/>
  <c r="M4" i="1" s="1"/>
  <c r="J26" i="1"/>
  <c r="R12" i="2"/>
  <c r="B12" i="2" s="1"/>
  <c r="B11" i="2"/>
  <c r="D11" i="2"/>
  <c r="X12" i="2"/>
  <c r="D12" i="2" s="1"/>
  <c r="C5" i="4" l="1"/>
  <c r="M7" i="1"/>
  <c r="J7" i="1" s="1"/>
</calcChain>
</file>

<file path=xl/sharedStrings.xml><?xml version="1.0" encoding="utf-8"?>
<sst xmlns="http://schemas.openxmlformats.org/spreadsheetml/2006/main" count="474" uniqueCount="340">
  <si>
    <t xml:space="preserve">Tiga </t>
  </si>
  <si>
    <t xml:space="preserve">Empat </t>
  </si>
  <si>
    <t xml:space="preserve">Lima </t>
  </si>
  <si>
    <t xml:space="preserve">Enam </t>
  </si>
  <si>
    <t xml:space="preserve">Tujuh </t>
  </si>
  <si>
    <t xml:space="preserve">Delapan </t>
  </si>
  <si>
    <t xml:space="preserve">Sembilan </t>
  </si>
  <si>
    <t xml:space="preserve">Dua </t>
  </si>
  <si>
    <t xml:space="preserve">Dua Ribu </t>
  </si>
  <si>
    <t xml:space="preserve">Tiga Ribu </t>
  </si>
  <si>
    <t xml:space="preserve">Empat Ribu </t>
  </si>
  <si>
    <t xml:space="preserve">Lima Ribu </t>
  </si>
  <si>
    <t xml:space="preserve">Enam Ribu </t>
  </si>
  <si>
    <t xml:space="preserve">Tujuh Ribu </t>
  </si>
  <si>
    <t xml:space="preserve">Delapan Ribu </t>
  </si>
  <si>
    <t xml:space="preserve">Sembilan Ribu </t>
  </si>
  <si>
    <t xml:space="preserve">Seratus </t>
  </si>
  <si>
    <t xml:space="preserve">Dua Ratus </t>
  </si>
  <si>
    <t xml:space="preserve">Tiga Ratus </t>
  </si>
  <si>
    <t xml:space="preserve">Empat Ratus </t>
  </si>
  <si>
    <t xml:space="preserve">Lima Ratus </t>
  </si>
  <si>
    <t xml:space="preserve">Enam Ratus </t>
  </si>
  <si>
    <t xml:space="preserve">Tujuh Ratus </t>
  </si>
  <si>
    <t xml:space="preserve">Delapan Ratus </t>
  </si>
  <si>
    <t xml:space="preserve">Sembilan Ratus </t>
  </si>
  <si>
    <t xml:space="preserve">Sepuluh </t>
  </si>
  <si>
    <t xml:space="preserve">Dua Puluh </t>
  </si>
  <si>
    <t xml:space="preserve">Tiga Puluh </t>
  </si>
  <si>
    <t xml:space="preserve">Empat Puluh </t>
  </si>
  <si>
    <t xml:space="preserve">Lima Puluh </t>
  </si>
  <si>
    <t xml:space="preserve">Enam Puluh </t>
  </si>
  <si>
    <t xml:space="preserve">Tujuh Puluh </t>
  </si>
  <si>
    <t xml:space="preserve">Delapan Puluh </t>
  </si>
  <si>
    <t xml:space="preserve">Sembilan Puluh </t>
  </si>
  <si>
    <t xml:space="preserve">Sebelas </t>
  </si>
  <si>
    <t xml:space="preserve">Dua Belas </t>
  </si>
  <si>
    <t xml:space="preserve">Satu </t>
  </si>
  <si>
    <t xml:space="preserve">Tiga Belas </t>
  </si>
  <si>
    <t xml:space="preserve">Empat Belas </t>
  </si>
  <si>
    <t xml:space="preserve">Lima Belas </t>
  </si>
  <si>
    <t xml:space="preserve">Enam Belas </t>
  </si>
  <si>
    <t xml:space="preserve">Tujuh Belas </t>
  </si>
  <si>
    <t xml:space="preserve">Delapan Belas </t>
  </si>
  <si>
    <t xml:space="preserve">Sembilan Belas </t>
  </si>
  <si>
    <t>=+IF(RIGHT(I10,2)-RIGHT(I10,1)=10,"",IF(VALUE(RIGHT(I10,1))=0,"",VLOOKUP(VALUE(RIGHT(I10,1)),$S$3:$T$11,2)))</t>
  </si>
  <si>
    <t>=+IF(RIGHT(I10,4)-RIGHT(I10,3)=0,"",VLOOKUP(RIGHT(I10,4)-RIGHT(I10,3),$M$3:$N$11,2))&amp;IF(RIGHT(I10,3)-RIGHT(I10,2)=0,"",VLOOKUP(RIGHT(I10,3)-RIGHT(I10,2),$O$5:$P$11,2))&amp;IF(RIGHT(I10,2)-RIGHT(I10,1)=0,"",IF(AND(RIGHT(I10,2)-RIGHT(I10,1)=10,VALUE(RIGHT(17,1))&gt;0),VLOOKUP(VALUE(RIGHT(I10,2)),U6:V14,2),VLOOKUP(RIGHT(I10,2)-RIGHT(I10,1),$Q$3:$R$11,2))&amp;IF(RIGHT(I10,2)-RIGHT(I10,1)=10,"",IF(VALUE(RIGHT(I10,1))=0,"",VLOOKUP(VALUE(RIGHT(I10,1)),$S$3:$T$11,2))))&amp;"Rupiah"</t>
  </si>
  <si>
    <t>=+IF(RIGHT(I7,4)-RIGHT(I7,3)=0,"",VLOOKUP(RIGHT(I7,4)-RIGHT(I7,3),$S$3:$T$11,2))&amp;IF(RIGHT(I7,3)-RIGHT(I7,2)=0,"",VLOOKUP(RIGHT(I7,3)-RIGHT(I7,2),$U$5:$V$11,2))&amp;IF(RIGHT(I7,2)-RIGHT(I7,1)=0,"",VLOOKUP(RIGHT(I7,2)-RIGHT(I7,1),$W$3:$X$11,2))&amp;IF(VALUE(RIGHT(I7,1))=0,"",VLOOKUP(VALUE(RIGHT(I7,1)),$Y$3:$Z$11,2))&amp;"Rupiah"</t>
  </si>
  <si>
    <t>Ribuan</t>
  </si>
  <si>
    <t>Ratusan</t>
  </si>
  <si>
    <t>Puluhan</t>
  </si>
  <si>
    <t>Satuan</t>
  </si>
  <si>
    <t xml:space="preserve">Sebelas Ribu </t>
  </si>
  <si>
    <t xml:space="preserve">Dua Belas Ribu </t>
  </si>
  <si>
    <t xml:space="preserve">Tiga Belas Ribu </t>
  </si>
  <si>
    <t xml:space="preserve">Empat Belas Ribu </t>
  </si>
  <si>
    <t xml:space="preserve">Lima Belas Ribu </t>
  </si>
  <si>
    <t xml:space="preserve">Enam Belas Ribu </t>
  </si>
  <si>
    <t xml:space="preserve">Tujuh Belas Ribu </t>
  </si>
  <si>
    <t xml:space="preserve">Delapan Belas Ribu </t>
  </si>
  <si>
    <t xml:space="preserve">Sembilan Belas Ribu </t>
  </si>
  <si>
    <t>Ribu</t>
  </si>
  <si>
    <t>Jutaan</t>
  </si>
  <si>
    <t>Juta</t>
  </si>
  <si>
    <t xml:space="preserve">Satu Juta </t>
  </si>
  <si>
    <t xml:space="preserve">Dua Juta </t>
  </si>
  <si>
    <t xml:space="preserve">Tiga Juta </t>
  </si>
  <si>
    <t xml:space="preserve">Empat Juta </t>
  </si>
  <si>
    <t xml:space="preserve">Lima Juta </t>
  </si>
  <si>
    <t xml:space="preserve">Enam Juta </t>
  </si>
  <si>
    <t xml:space="preserve">Tujuh Juta </t>
  </si>
  <si>
    <t xml:space="preserve">Delapan Juta </t>
  </si>
  <si>
    <t xml:space="preserve">Sembilan Juta </t>
  </si>
  <si>
    <t xml:space="preserve">Sebelas Juta </t>
  </si>
  <si>
    <t xml:space="preserve">Dua Belas Juta </t>
  </si>
  <si>
    <t xml:space="preserve">Tiga Belas Juta </t>
  </si>
  <si>
    <t xml:space="preserve">Empat Belas Juta </t>
  </si>
  <si>
    <t xml:space="preserve">Lima Belas Juta </t>
  </si>
  <si>
    <t xml:space="preserve">Enam Belas Juta </t>
  </si>
  <si>
    <t xml:space="preserve">Tujuh Belas Juta </t>
  </si>
  <si>
    <t xml:space="preserve">Delapan Belas Juta </t>
  </si>
  <si>
    <t xml:space="preserve">Sembilan Belas Juta </t>
  </si>
  <si>
    <t xml:space="preserve">Satu Ribu </t>
  </si>
  <si>
    <t>Indah Budiwati</t>
  </si>
  <si>
    <t>Keuangan</t>
  </si>
  <si>
    <t>kmr</t>
  </si>
  <si>
    <t>Peserta Peninjau</t>
  </si>
  <si>
    <t>org</t>
  </si>
  <si>
    <t>TKMPN-X  tanggal  28 November - 2 Desember 2006 di Hotel Natour Garuda</t>
  </si>
  <si>
    <t>Peserta Penyaji</t>
  </si>
  <si>
    <t>x</t>
  </si>
  <si>
    <t>Rp.</t>
  </si>
  <si>
    <t>Wisata</t>
  </si>
  <si>
    <t>mlm</t>
  </si>
  <si>
    <t>Penginapan CI : tgl 28/11/06 -</t>
  </si>
  <si>
    <t>CO tgl. 3/12/06</t>
  </si>
  <si>
    <t>29 Agustus 20006</t>
  </si>
  <si>
    <t xml:space="preserve">   054-2/TKMPN/WKM-P/VIII/06</t>
  </si>
  <si>
    <t>PT ASTRA INTERNATIONAL Tbk - HONDA SALES OPERATION</t>
  </si>
  <si>
    <t>NO</t>
  </si>
  <si>
    <t>PERUSAHAAN</t>
  </si>
  <si>
    <t>NO FAKTUR</t>
  </si>
  <si>
    <t>NILAI</t>
  </si>
  <si>
    <t>Yuniari</t>
  </si>
  <si>
    <t>UP V</t>
  </si>
  <si>
    <t>Upms IV</t>
  </si>
  <si>
    <t>novar</t>
  </si>
  <si>
    <t>Kas</t>
  </si>
  <si>
    <t>hart0n0</t>
  </si>
  <si>
    <t>Airport taax</t>
  </si>
  <si>
    <t>Rotiboy</t>
  </si>
  <si>
    <t>Aqua</t>
  </si>
  <si>
    <t>pipit</t>
  </si>
  <si>
    <t>pulsa</t>
  </si>
  <si>
    <t>Hp 2</t>
  </si>
  <si>
    <t>USB 5</t>
  </si>
  <si>
    <t>Minuman + snack</t>
  </si>
  <si>
    <t>PT Telkom</t>
  </si>
  <si>
    <t>Ambil di \ATM</t>
  </si>
  <si>
    <t>Materai</t>
  </si>
  <si>
    <t>Gantungan name taq</t>
  </si>
  <si>
    <t>udin</t>
  </si>
  <si>
    <t>yopi</t>
  </si>
  <si>
    <t>agus</t>
  </si>
  <si>
    <t>Cetakan</t>
  </si>
  <si>
    <t>Maruli</t>
  </si>
  <si>
    <t>Parni</t>
  </si>
  <si>
    <t>Thoriq</t>
  </si>
  <si>
    <t>Kuswanto</t>
  </si>
  <si>
    <t>Harmon</t>
  </si>
  <si>
    <t>Bambang</t>
  </si>
  <si>
    <t>transport filman</t>
  </si>
  <si>
    <t>Fotocopy n mouse</t>
  </si>
  <si>
    <t>Diskon Gs Bttreai</t>
  </si>
  <si>
    <t>Smart</t>
  </si>
  <si>
    <t>Pipuk kujang</t>
  </si>
  <si>
    <t>Erna/mitra</t>
  </si>
  <si>
    <t>26/11/207</t>
  </si>
  <si>
    <t>pupuk kujang</t>
  </si>
  <si>
    <t>Tiket Thoriq abundan</t>
  </si>
  <si>
    <t>Suhanda</t>
  </si>
  <si>
    <t>Perwakilan Diknas</t>
  </si>
  <si>
    <t>Haris</t>
  </si>
  <si>
    <t>Penari</t>
  </si>
  <si>
    <t>Koor</t>
  </si>
  <si>
    <t>Dp foto</t>
  </si>
  <si>
    <t>Arief</t>
  </si>
  <si>
    <t>Penyanyi welcaome</t>
  </si>
  <si>
    <t>Travel</t>
  </si>
  <si>
    <t>Minuman</t>
  </si>
  <si>
    <t>Vicher aaa</t>
  </si>
  <si>
    <t>Parkir</t>
  </si>
  <si>
    <t>Dekorasi</t>
  </si>
  <si>
    <t>dokter peserta</t>
  </si>
  <si>
    <t>Pengambilan uang di BCA</t>
  </si>
  <si>
    <t>Sewa infokus</t>
  </si>
  <si>
    <t>pujimawan</t>
  </si>
  <si>
    <t>Tiket ke sby</t>
  </si>
  <si>
    <t>sunarso</t>
  </si>
  <si>
    <t>suradi</t>
  </si>
  <si>
    <t>M. Alwi</t>
  </si>
  <si>
    <t>wsu</t>
  </si>
  <si>
    <t>ags nurcahyo</t>
  </si>
  <si>
    <t>ariansyah</t>
  </si>
  <si>
    <t>yanti</t>
  </si>
  <si>
    <t>diah</t>
  </si>
  <si>
    <t>mrl</t>
  </si>
  <si>
    <t>rita</t>
  </si>
  <si>
    <t>lisa</t>
  </si>
  <si>
    <t>wita</t>
  </si>
  <si>
    <t>ulloh</t>
  </si>
  <si>
    <t>tiket wita</t>
  </si>
  <si>
    <t>Edy Saraya</t>
  </si>
  <si>
    <t>Toha Rosadi</t>
  </si>
  <si>
    <t>Surono</t>
  </si>
  <si>
    <t>Suyitno</t>
  </si>
  <si>
    <t>Agus KDL</t>
  </si>
  <si>
    <t>kaos</t>
  </si>
  <si>
    <t>lumpia + mie</t>
  </si>
  <si>
    <t>Novi</t>
  </si>
  <si>
    <t>Syaefullah Lasindrang</t>
  </si>
  <si>
    <t>Efi</t>
  </si>
  <si>
    <t>RRI</t>
  </si>
  <si>
    <t>Mahasiswa</t>
  </si>
  <si>
    <t>Widodo HS</t>
  </si>
  <si>
    <t>Herman Kwandang</t>
  </si>
  <si>
    <t>Thalip</t>
  </si>
  <si>
    <t>Mahasiswa 4 orang</t>
  </si>
  <si>
    <t>Pos</t>
  </si>
  <si>
    <t>Aaa</t>
  </si>
  <si>
    <t>Transfer ke mandiri swh</t>
  </si>
  <si>
    <t>Sewa mobil UP II</t>
  </si>
  <si>
    <t>Sewa mobil ke bandara (dyt)</t>
  </si>
  <si>
    <t>Lumpia (diah, iin, dyt)</t>
  </si>
  <si>
    <t>Makan siang (iin,lani,diah,dyt,iqb)</t>
  </si>
  <si>
    <t>Makan malam panitia</t>
  </si>
  <si>
    <t>Transfer ke BCA (swh)</t>
  </si>
  <si>
    <t>Pengambilan dari ATM</t>
  </si>
  <si>
    <t>Lani</t>
  </si>
  <si>
    <t>Udin + ulloh</t>
  </si>
  <si>
    <t>diskon pt pos</t>
  </si>
  <si>
    <t>Terima uang dr PT Pos</t>
  </si>
  <si>
    <t>Rizal</t>
  </si>
  <si>
    <t>Transport (thalip)</t>
  </si>
  <si>
    <t>arfizon</t>
  </si>
  <si>
    <t>Tiket ke Jkt (iin,dyt)</t>
  </si>
  <si>
    <t>Airpott tax (smg-jkt (iin,diah,lani,iqb,dyt)</t>
  </si>
  <si>
    <t>TV 29 in</t>
  </si>
  <si>
    <t>DVD</t>
  </si>
  <si>
    <t>Kaos polo</t>
  </si>
  <si>
    <t>Jam tangan</t>
  </si>
  <si>
    <t>Plastik</t>
  </si>
  <si>
    <t>Laundry</t>
  </si>
  <si>
    <t>Band</t>
  </si>
  <si>
    <t>Kaos Rizal</t>
  </si>
  <si>
    <t>Pengganti kamar (ator)</t>
  </si>
  <si>
    <t>Makan malam (alwi,iin,herman,iqb)</t>
  </si>
  <si>
    <t>Sate ayam</t>
  </si>
  <si>
    <t>Rita gaji</t>
  </si>
  <si>
    <t>Bahan selendang</t>
  </si>
  <si>
    <t>Fotocopy</t>
  </si>
  <si>
    <t>tempat kartu nama</t>
  </si>
  <si>
    <t>Zubairi</t>
  </si>
  <si>
    <t>dyt</t>
  </si>
  <si>
    <t>iqbal</t>
  </si>
  <si>
    <t>wawan</t>
  </si>
  <si>
    <t>sudarwanto</t>
  </si>
  <si>
    <t>guntur</t>
  </si>
  <si>
    <t>nia</t>
  </si>
  <si>
    <t>nn</t>
  </si>
  <si>
    <t>arif</t>
  </si>
  <si>
    <t>Swh</t>
  </si>
  <si>
    <t>iin</t>
  </si>
  <si>
    <t>Hr pembicara Konvensi Mutu Deprin Parni</t>
  </si>
  <si>
    <t>Hr pembicara Konvensi Mutu Deprin Atih</t>
  </si>
  <si>
    <t>Hr pembicara Konvensi Mutu Deprin Sumarko</t>
  </si>
  <si>
    <t>Hr pembicara Konvensi Mutu Deprin Dedi WA</t>
  </si>
  <si>
    <t>Hr Moderator Konvensi Mutu Deprin Wsu</t>
  </si>
  <si>
    <t>Spanduk Deprin</t>
  </si>
  <si>
    <t>Taxi (Diah, iin)</t>
  </si>
  <si>
    <t xml:space="preserve">Makan siang </t>
  </si>
  <si>
    <t>dokter iin</t>
  </si>
  <si>
    <t>Transport malam (iin)</t>
  </si>
  <si>
    <t>Lippo Swh</t>
  </si>
  <si>
    <t>Transport ariansyah</t>
  </si>
  <si>
    <t>amplop</t>
  </si>
  <si>
    <t>Terima uang dr PT Smart</t>
  </si>
  <si>
    <t>PEMBAYARAN</t>
  </si>
  <si>
    <t>TUNAI</t>
  </si>
  <si>
    <t>BCA</t>
  </si>
  <si>
    <t>MANDIRI</t>
  </si>
  <si>
    <t>Keterangan</t>
  </si>
  <si>
    <t>TOTAL/BLN</t>
  </si>
  <si>
    <t>WKM</t>
  </si>
  <si>
    <t>Tahap I/IV : SPK Nomor : WKM/089/KT/X/2009</t>
  </si>
  <si>
    <t>PT PERTAMINA RU II</t>
  </si>
  <si>
    <t>1. Pelatihan Juri CIP, tanggal 13 - 15 Februari 2012</t>
  </si>
  <si>
    <t>11/TQM/WKM/II/12</t>
  </si>
  <si>
    <t>PT MITRA PINASTIKA MULIA</t>
  </si>
  <si>
    <t>12-1/TQM/WKM/II/12</t>
  </si>
  <si>
    <t>An :  EKO ARUN NOVIANTO  #0931#</t>
  </si>
  <si>
    <t>12-2/TQM/WKM/II/12</t>
  </si>
  <si>
    <t>Pelatihan TQM For QCC Facilitator tgl 21-23 Februari 2012 (AN, Nuyradi)</t>
  </si>
  <si>
    <t>An :  HESTI MARDIANA  #0740#</t>
  </si>
  <si>
    <t>12-3/TQM/WKM/II/12</t>
  </si>
  <si>
    <t>An :  RATNA TRI HARTATI  #5333#</t>
  </si>
  <si>
    <t>12-4/TQM/WKM/II/12</t>
  </si>
  <si>
    <t>PT PERTAMINA GAS</t>
  </si>
  <si>
    <t>Angkatan I Pelatihan Upskilling J&amp; Penyusunan Risalah Continuous Improvement</t>
  </si>
  <si>
    <t>10/TQM/WKM/II/12</t>
  </si>
  <si>
    <t>Angkatan II Pelatihan Upskilling J&amp; Penyusunan Risalah Continuous Improvement</t>
  </si>
  <si>
    <t>13/TQM/WKM/II/12</t>
  </si>
  <si>
    <t>Bimbingan Penulisan Makalah "International Convention On Quality</t>
  </si>
  <si>
    <t>14/TQM/WKM/II/12</t>
  </si>
  <si>
    <t xml:space="preserve">Angkatan III Pelatihan "Upskilling &amp; Penyusunan Risalah Continuous </t>
  </si>
  <si>
    <t>18/TQM/WKM/III/12</t>
  </si>
  <si>
    <t xml:space="preserve">Angkatan I Pelatihan "Upskilling &amp; Penyusunan Risalah Continuous </t>
  </si>
  <si>
    <t>PT PERTAMINA DRILLING SERVICE</t>
  </si>
  <si>
    <t>19/TQM/WKM/III/12</t>
  </si>
  <si>
    <t>PT PERTAMINA EP</t>
  </si>
  <si>
    <t>08R/TQM/WKM/III/12</t>
  </si>
  <si>
    <t>PT KALBE GROUP</t>
  </si>
  <si>
    <t>30/TQM/WKM/III/12</t>
  </si>
  <si>
    <t>PT PERTAMINA (PERSERO)</t>
  </si>
  <si>
    <t>32/TQM/WKM/IV/12</t>
  </si>
  <si>
    <t>PT SEMEN GRESIK (PERSERO) Tbk</t>
  </si>
  <si>
    <t>36-6/TQM/WKM/IV/12</t>
  </si>
  <si>
    <t>PUSKESMAS KECAMATAN CEMPAKA PUTIH</t>
  </si>
  <si>
    <t>37-2/TQM/WKM/IV/12</t>
  </si>
  <si>
    <t>47/TQM/WKM/V/12</t>
  </si>
  <si>
    <t>PT UNTUNG BERSAMA SEJAHTERA</t>
  </si>
  <si>
    <t>52/TQM/WKM/V/12</t>
  </si>
  <si>
    <t>SUDINKES KOTA ADMINISTRASI  JAKARTA PUSAT</t>
  </si>
  <si>
    <t>53/TQM/WKM/V/12</t>
  </si>
  <si>
    <t>PT KALTIM PARNA INDUSTRI</t>
  </si>
  <si>
    <t>55-2/TQM/WKM/IV/12</t>
  </si>
  <si>
    <t>PT PUPUK SRIWIDJAJA PALEMBANG</t>
  </si>
  <si>
    <t>78/TQM/WKM/V/12</t>
  </si>
  <si>
    <t>SUKU DINAS KESEHATAN</t>
  </si>
  <si>
    <t>86/TQM/WKM/VI/12</t>
  </si>
  <si>
    <t>87/TQM/WKM/VI/12</t>
  </si>
  <si>
    <t>PT PERTAMINA (PERSERO) RU II</t>
  </si>
  <si>
    <t>89/TQM/WKM/VI/12</t>
  </si>
  <si>
    <t>93/TQM/WKM/VI/12</t>
  </si>
  <si>
    <t xml:space="preserve">  PT PERTAMINA GAS</t>
  </si>
  <si>
    <t>95/TQM/WKM/VI/12</t>
  </si>
  <si>
    <t>PT HM SAMPOERNA, Tbk</t>
  </si>
  <si>
    <t>102/TQM/WKM/VII/12</t>
  </si>
  <si>
    <t>103/TQM/WKM/VII/12</t>
  </si>
  <si>
    <t>PT PERTAMINA (PERSERO) PERKAPALAN</t>
  </si>
  <si>
    <t>207/TQM/WKM/X/12</t>
  </si>
  <si>
    <t>27,5</t>
  </si>
  <si>
    <t>37,5</t>
  </si>
  <si>
    <t>62,5</t>
  </si>
  <si>
    <t>12,5</t>
  </si>
  <si>
    <t>22,5</t>
  </si>
  <si>
    <t>42,5</t>
  </si>
  <si>
    <t>32,5</t>
  </si>
  <si>
    <t> -</t>
  </si>
  <si>
    <t>- </t>
  </si>
  <si>
    <t>52,5</t>
  </si>
  <si>
    <t>82,5</t>
  </si>
  <si>
    <t>72,5</t>
  </si>
  <si>
    <t>57,5</t>
  </si>
  <si>
    <t>67,5</t>
  </si>
  <si>
    <t>47,5</t>
  </si>
  <si>
    <t>60,5</t>
  </si>
  <si>
    <t>PT PERTAMINA EP CEPU</t>
  </si>
  <si>
    <t>219/TQM/WKM/XI/12</t>
  </si>
  <si>
    <t>PT PERTAMINA GAS TAHUN 2012</t>
  </si>
  <si>
    <t>pada tanggal 11 - 13 Juli 2012 di Hotel Novotel Solo</t>
  </si>
  <si>
    <t>351/TQM/WKM/XII/12</t>
  </si>
  <si>
    <t>Bendahara</t>
  </si>
  <si>
    <t>TKMPN</t>
  </si>
  <si>
    <t>2026</t>
  </si>
  <si>
    <t xml:space="preserve">Padang, 23 - 27 November 2026 </t>
  </si>
  <si>
    <t>Temu Karya Mutu &amp; Produktivitas Nasional (TKMPN) XXX - 2026</t>
  </si>
  <si>
    <t>X</t>
  </si>
  <si>
    <t>224</t>
  </si>
  <si>
    <t>PT WASKITA KARYA (PERSERO) Tbk</t>
  </si>
  <si>
    <t>Jumlah peserta 9 orang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</si>
</sst>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_(* #,##0_);_(* \(#,##0\);_(* &quot;-&quot;??_);_(@_)"/>
    <numFmt numFmtId="166" formatCode="_([$Rp-421]* #,##0_);_([$Rp-421]* \(#,##0\);_([$Rp-421]* &quot;-&quot;_);_(@_)"/>
    <numFmt numFmtId="167" formatCode="[$Rp-421]#,##0;[Red][$Rp-421]#,##0"/>
    <numFmt numFmtId="168" formatCode="[$-409]d\-mmm\-yyyy;@"/>
  </numFmts>
  <fonts count="35" x14ac:knownFonts="1">
    <font>
      <sz val="12"/>
      <name val="Arial"/>
    </font>
    <font>
      <sz val="12"/>
      <name val="Arial"/>
      <family val="2"/>
    </font>
    <font>
      <i/>
      <sz val="12"/>
      <name val="Arial"/>
      <family val="2"/>
    </font>
    <font>
      <b/>
      <sz val="13"/>
      <name val="Arial"/>
      <family val="2"/>
    </font>
    <font>
      <u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u val="singleAccounting"/>
      <sz val="12"/>
      <name val="Arial"/>
      <family val="2"/>
    </font>
    <font>
      <u/>
      <sz val="9"/>
      <color indexed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4"/>
      <name val="Arial"/>
      <family val="2"/>
    </font>
    <font>
      <sz val="14"/>
      <name val="Trebuchet MS"/>
      <family val="2"/>
    </font>
    <font>
      <sz val="10"/>
      <name val="Sylfaen"/>
      <family val="1"/>
    </font>
    <font>
      <sz val="12"/>
      <name val="Sylfaen"/>
      <family val="1"/>
    </font>
    <font>
      <b/>
      <sz val="16"/>
      <color indexed="9"/>
      <name val="Arial"/>
      <family val="2"/>
    </font>
    <font>
      <sz val="11"/>
      <color rgb="FF000000"/>
      <name val="Candara"/>
      <family val="2"/>
    </font>
    <font>
      <sz val="36"/>
      <name val="Arial"/>
      <family val="2"/>
    </font>
    <font>
      <b/>
      <sz val="18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i/>
      <sz val="14"/>
      <name val="Calibri"/>
      <family val="2"/>
      <scheme val="minor"/>
    </font>
    <font>
      <u/>
      <sz val="14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Arial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  <scheme val="minor"/>
    </font>
    <font>
      <sz val="14"/>
      <name val="Calibri"/>
      <family val="2"/>
    </font>
    <font>
      <b/>
      <sz val="2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138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0" fillId="2" borderId="0" xfId="0" applyFill="1"/>
    <xf numFmtId="165" fontId="0" fillId="0" borderId="0" xfId="1" applyNumberFormat="1" applyFont="1" applyFill="1"/>
    <xf numFmtId="165" fontId="0" fillId="0" borderId="0" xfId="1" applyNumberFormat="1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2" fillId="0" borderId="0" xfId="0" quotePrefix="1" applyFont="1" applyAlignment="1">
      <alignment vertical="top"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right"/>
    </xf>
    <xf numFmtId="43" fontId="2" fillId="0" borderId="0" xfId="1" applyFont="1" applyFill="1" applyBorder="1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167" fontId="0" fillId="0" borderId="0" xfId="0" applyNumberFormat="1"/>
    <xf numFmtId="0" fontId="0" fillId="0" borderId="0" xfId="0" applyAlignment="1">
      <alignment horizontal="center"/>
    </xf>
    <xf numFmtId="165" fontId="0" fillId="0" borderId="0" xfId="1" applyNumberFormat="1" applyFont="1" applyFill="1" applyBorder="1"/>
    <xf numFmtId="165" fontId="0" fillId="0" borderId="0" xfId="0" applyNumberFormat="1"/>
    <xf numFmtId="0" fontId="6" fillId="0" borderId="0" xfId="0" applyFont="1"/>
    <xf numFmtId="165" fontId="7" fillId="0" borderId="0" xfId="0" applyNumberFormat="1" applyFont="1"/>
    <xf numFmtId="165" fontId="0" fillId="0" borderId="0" xfId="1" applyNumberFormat="1" applyFont="1"/>
    <xf numFmtId="0" fontId="9" fillId="0" borderId="0" xfId="0" applyFont="1" applyAlignment="1">
      <alignment horizontal="center"/>
    </xf>
    <xf numFmtId="165" fontId="9" fillId="0" borderId="0" xfId="1" applyNumberFormat="1" applyFont="1" applyAlignment="1">
      <alignment horizontal="center"/>
    </xf>
    <xf numFmtId="0" fontId="0" fillId="3" borderId="0" xfId="0" applyFill="1"/>
    <xf numFmtId="165" fontId="0" fillId="3" borderId="0" xfId="1" applyNumberFormat="1" applyFont="1" applyFill="1"/>
    <xf numFmtId="0" fontId="1" fillId="0" borderId="0" xfId="0" applyFont="1"/>
    <xf numFmtId="41" fontId="0" fillId="0" borderId="0" xfId="2" applyFont="1"/>
    <xf numFmtId="14" fontId="0" fillId="0" borderId="0" xfId="0" applyNumberFormat="1"/>
    <xf numFmtId="41" fontId="0" fillId="0" borderId="0" xfId="0" applyNumberFormat="1"/>
    <xf numFmtId="41" fontId="1" fillId="0" borderId="0" xfId="2" applyFont="1"/>
    <xf numFmtId="41" fontId="0" fillId="0" borderId="1" xfId="2" applyFont="1" applyBorder="1"/>
    <xf numFmtId="41" fontId="0" fillId="4" borderId="1" xfId="2" applyFont="1" applyFill="1" applyBorder="1"/>
    <xf numFmtId="41" fontId="0" fillId="0" borderId="2" xfId="2" applyFont="1" applyBorder="1"/>
    <xf numFmtId="41" fontId="0" fillId="0" borderId="3" xfId="2" applyFont="1" applyBorder="1"/>
    <xf numFmtId="0" fontId="1" fillId="0" borderId="4" xfId="0" applyFont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0" fillId="3" borderId="0" xfId="0" applyFill="1" applyAlignment="1">
      <alignment horizontal="center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43" fontId="2" fillId="0" borderId="0" xfId="1" applyFont="1" applyFill="1" applyBorder="1" applyAlignment="1" applyProtection="1">
      <alignment horizontal="left" vertical="center" wrapText="1" indent="1"/>
      <protection locked="0"/>
    </xf>
    <xf numFmtId="0" fontId="9" fillId="0" borderId="0" xfId="0" applyFont="1" applyAlignment="1" applyProtection="1">
      <alignment vertical="center"/>
      <protection locked="0"/>
    </xf>
    <xf numFmtId="164" fontId="5" fillId="0" borderId="0" xfId="2" applyNumberFormat="1" applyFont="1" applyFill="1" applyBorder="1" applyAlignment="1" applyProtection="1">
      <alignment vertical="center"/>
      <protection locked="0"/>
    </xf>
    <xf numFmtId="41" fontId="5" fillId="0" borderId="0" xfId="2" applyFont="1" applyFill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166" fontId="5" fillId="0" borderId="0" xfId="0" applyNumberFormat="1" applyFont="1" applyProtection="1">
      <protection locked="0"/>
    </xf>
    <xf numFmtId="0" fontId="5" fillId="0" borderId="0" xfId="0" quotePrefix="1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166" fontId="7" fillId="0" borderId="0" xfId="0" applyNumberFormat="1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0" fontId="0" fillId="0" borderId="0" xfId="0" quotePrefix="1" applyProtection="1">
      <protection locked="0"/>
    </xf>
    <xf numFmtId="166" fontId="0" fillId="0" borderId="0" xfId="0" applyNumberFormat="1" applyProtection="1">
      <protection locked="0"/>
    </xf>
    <xf numFmtId="41" fontId="0" fillId="0" borderId="0" xfId="2" applyFont="1" applyFill="1" applyBorder="1" applyProtection="1">
      <protection locked="0"/>
    </xf>
    <xf numFmtId="41" fontId="0" fillId="0" borderId="0" xfId="0" applyNumberFormat="1" applyProtection="1">
      <protection locked="0"/>
    </xf>
    <xf numFmtId="164" fontId="5" fillId="0" borderId="0" xfId="2" applyNumberFormat="1" applyFont="1" applyFill="1" applyBorder="1" applyAlignment="1" applyProtection="1">
      <protection locked="0"/>
    </xf>
    <xf numFmtId="41" fontId="0" fillId="0" borderId="0" xfId="2" applyFont="1" applyFill="1" applyBorder="1" applyAlignment="1" applyProtection="1">
      <alignment horizontal="left"/>
      <protection locked="0"/>
    </xf>
    <xf numFmtId="167" fontId="0" fillId="0" borderId="0" xfId="0" applyNumberFormat="1" applyProtection="1">
      <protection locked="0"/>
    </xf>
    <xf numFmtId="0" fontId="2" fillId="0" borderId="0" xfId="0" quotePrefix="1" applyFont="1" applyProtection="1">
      <protection locked="0"/>
    </xf>
    <xf numFmtId="0" fontId="5" fillId="0" borderId="0" xfId="0" quotePrefix="1" applyFont="1" applyAlignment="1" applyProtection="1">
      <alignment horizontal="center"/>
      <protection locked="0"/>
    </xf>
    <xf numFmtId="164" fontId="0" fillId="0" borderId="0" xfId="2" applyNumberFormat="1" applyFont="1" applyFill="1" applyBorder="1" applyAlignment="1" applyProtection="1">
      <alignment horizontal="center"/>
      <protection locked="0"/>
    </xf>
    <xf numFmtId="165" fontId="7" fillId="0" borderId="0" xfId="0" applyNumberFormat="1" applyFont="1" applyProtection="1">
      <protection locked="0"/>
    </xf>
    <xf numFmtId="165" fontId="0" fillId="0" borderId="0" xfId="0" applyNumberFormat="1" applyProtection="1">
      <protection locked="0"/>
    </xf>
    <xf numFmtId="0" fontId="4" fillId="0" borderId="0" xfId="0" applyFont="1" applyProtection="1">
      <protection locked="0"/>
    </xf>
    <xf numFmtId="41" fontId="0" fillId="0" borderId="0" xfId="2" quotePrefix="1" applyFont="1" applyFill="1" applyBorder="1" applyAlignment="1" applyProtection="1">
      <protection locked="0"/>
    </xf>
    <xf numFmtId="0" fontId="5" fillId="0" borderId="0" xfId="0" quotePrefix="1" applyFont="1" applyProtection="1">
      <protection locked="0"/>
    </xf>
    <xf numFmtId="0" fontId="12" fillId="0" borderId="0" xfId="0" applyFont="1" applyAlignment="1" applyProtection="1">
      <alignment horizontal="left"/>
      <protection locked="0"/>
    </xf>
    <xf numFmtId="0" fontId="11" fillId="0" borderId="0" xfId="0" applyFont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0" fontId="12" fillId="0" borderId="0" xfId="0" applyFont="1" applyAlignment="1" applyProtection="1">
      <alignment horizontal="right"/>
      <protection locked="0"/>
    </xf>
    <xf numFmtId="0" fontId="12" fillId="0" borderId="0" xfId="0" quotePrefix="1" applyFont="1" applyAlignment="1" applyProtection="1">
      <alignment horizontal="right"/>
      <protection locked="0"/>
    </xf>
    <xf numFmtId="41" fontId="5" fillId="0" borderId="0" xfId="2" quotePrefix="1" applyFont="1" applyFill="1" applyBorder="1" applyAlignment="1" applyProtection="1">
      <protection locked="0"/>
    </xf>
    <xf numFmtId="0" fontId="8" fillId="0" borderId="0" xfId="3" applyBorder="1" applyAlignment="1" applyProtection="1">
      <protection locked="0"/>
    </xf>
    <xf numFmtId="49" fontId="15" fillId="5" borderId="0" xfId="0" applyNumberFormat="1" applyFont="1" applyFill="1" applyProtection="1">
      <protection locked="0"/>
    </xf>
    <xf numFmtId="0" fontId="16" fillId="0" borderId="8" xfId="0" applyFont="1" applyBorder="1" applyAlignment="1">
      <alignment horizontal="center"/>
    </xf>
    <xf numFmtId="0" fontId="17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20" fillId="0" borderId="0" xfId="0" applyFont="1" applyProtection="1">
      <protection locked="0"/>
    </xf>
    <xf numFmtId="0" fontId="19" fillId="0" borderId="0" xfId="0" applyFont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0" fontId="21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5" fillId="0" borderId="0" xfId="0" applyFont="1" applyProtection="1"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24" fillId="0" borderId="0" xfId="0" applyFont="1" applyProtection="1">
      <protection locked="0"/>
    </xf>
    <xf numFmtId="41" fontId="19" fillId="0" borderId="0" xfId="2" applyFont="1" applyFill="1" applyBorder="1" applyProtection="1">
      <protection locked="0"/>
    </xf>
    <xf numFmtId="0" fontId="24" fillId="0" borderId="0" xfId="0" applyFont="1" applyAlignment="1" applyProtection="1">
      <alignment horizontal="left"/>
      <protection locked="0"/>
    </xf>
    <xf numFmtId="0" fontId="22" fillId="0" borderId="0" xfId="0" applyFont="1" applyProtection="1">
      <protection locked="0"/>
    </xf>
    <xf numFmtId="0" fontId="22" fillId="0" borderId="0" xfId="0" applyFont="1" applyAlignment="1" applyProtection="1">
      <alignment horizontal="left"/>
      <protection locked="0"/>
    </xf>
    <xf numFmtId="0" fontId="24" fillId="0" borderId="0" xfId="0" quotePrefix="1" applyFont="1" applyAlignment="1" applyProtection="1">
      <alignment horizontal="left"/>
      <protection locked="0"/>
    </xf>
    <xf numFmtId="164" fontId="24" fillId="0" borderId="0" xfId="2" applyNumberFormat="1" applyFont="1" applyFill="1" applyBorder="1" applyAlignment="1" applyProtection="1">
      <protection locked="0"/>
    </xf>
    <xf numFmtId="166" fontId="24" fillId="0" borderId="0" xfId="0" applyNumberFormat="1" applyFont="1" applyProtection="1">
      <protection locked="0"/>
    </xf>
    <xf numFmtId="166" fontId="19" fillId="0" borderId="0" xfId="0" applyNumberFormat="1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165" fontId="19" fillId="0" borderId="0" xfId="0" applyNumberFormat="1" applyFont="1" applyProtection="1">
      <protection locked="0"/>
    </xf>
    <xf numFmtId="0" fontId="19" fillId="0" borderId="0" xfId="0" quotePrefix="1" applyFont="1" applyProtection="1">
      <protection locked="0"/>
    </xf>
    <xf numFmtId="0" fontId="24" fillId="6" borderId="0" xfId="0" applyFont="1" applyFill="1" applyProtection="1">
      <protection locked="0"/>
    </xf>
    <xf numFmtId="41" fontId="0" fillId="0" borderId="0" xfId="2" applyFont="1" applyBorder="1" applyProtection="1">
      <protection locked="0"/>
    </xf>
    <xf numFmtId="0" fontId="19" fillId="6" borderId="9" xfId="0" applyFont="1" applyFill="1" applyBorder="1" applyAlignment="1" applyProtection="1">
      <alignment horizontal="left"/>
      <protection locked="0"/>
    </xf>
    <xf numFmtId="0" fontId="19" fillId="6" borderId="0" xfId="0" quotePrefix="1" applyFont="1" applyFill="1" applyAlignment="1" applyProtection="1">
      <alignment horizontal="left"/>
      <protection locked="0"/>
    </xf>
    <xf numFmtId="0" fontId="28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3" fillId="0" borderId="0" xfId="0" applyFont="1" applyAlignment="1" applyProtection="1">
      <alignment horizontal="left"/>
      <protection locked="0"/>
    </xf>
    <xf numFmtId="0" fontId="29" fillId="0" borderId="0" xfId="0" applyFont="1" applyProtection="1">
      <protection locked="0"/>
    </xf>
    <xf numFmtId="0" fontId="30" fillId="0" borderId="0" xfId="0" applyFont="1" applyProtection="1">
      <protection locked="0"/>
    </xf>
    <xf numFmtId="0" fontId="22" fillId="0" borderId="0" xfId="0" applyFont="1" applyAlignment="1" applyProtection="1">
      <alignment vertical="top"/>
      <protection locked="0"/>
    </xf>
    <xf numFmtId="0" fontId="32" fillId="0" borderId="0" xfId="0" applyFont="1" applyAlignment="1">
      <alignment horizontal="left"/>
    </xf>
    <xf numFmtId="0" fontId="31" fillId="0" borderId="0" xfId="0" applyFont="1" applyProtection="1">
      <protection locked="0"/>
    </xf>
    <xf numFmtId="168" fontId="24" fillId="0" borderId="0" xfId="0" applyNumberFormat="1" applyFont="1" applyAlignment="1" applyProtection="1">
      <alignment horizontal="center"/>
      <protection locked="0"/>
    </xf>
    <xf numFmtId="166" fontId="24" fillId="0" borderId="0" xfId="0" applyNumberFormat="1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/>
      <protection locked="0"/>
    </xf>
    <xf numFmtId="0" fontId="24" fillId="0" borderId="0" xfId="0" applyFont="1" applyAlignment="1" applyProtection="1">
      <alignment horizontal="center" vertical="top"/>
      <protection locked="0"/>
    </xf>
    <xf numFmtId="0" fontId="19" fillId="0" borderId="0" xfId="0" quotePrefix="1" applyFont="1" applyAlignment="1" applyProtection="1">
      <alignment horizontal="left"/>
      <protection locked="0"/>
    </xf>
    <xf numFmtId="0" fontId="33" fillId="0" borderId="0" xfId="0" applyFont="1" applyAlignment="1" applyProtection="1">
      <alignment horizontal="left"/>
      <protection locked="0"/>
    </xf>
    <xf numFmtId="43" fontId="26" fillId="0" borderId="0" xfId="1" applyFont="1" applyFill="1" applyBorder="1" applyAlignment="1" applyProtection="1">
      <alignment horizontal="center" vertical="center" wrapText="1"/>
      <protection locked="0"/>
    </xf>
    <xf numFmtId="3" fontId="23" fillId="0" borderId="0" xfId="1" applyNumberFormat="1" applyFont="1" applyFill="1" applyBorder="1" applyAlignment="1" applyProtection="1">
      <alignment horizontal="center"/>
      <protection locked="0"/>
    </xf>
    <xf numFmtId="43" fontId="2" fillId="0" borderId="0" xfId="1" applyFont="1" applyFill="1" applyBorder="1" applyAlignment="1" applyProtection="1">
      <alignment horizontal="left" vertical="center" wrapText="1" indent="1"/>
      <protection locked="0"/>
    </xf>
    <xf numFmtId="3" fontId="3" fillId="0" borderId="0" xfId="1" applyNumberFormat="1" applyFont="1" applyFill="1" applyBorder="1" applyAlignment="1" applyProtection="1">
      <alignment horizontal="center" vertical="center"/>
      <protection locked="0"/>
    </xf>
    <xf numFmtId="43" fontId="2" fillId="0" borderId="0" xfId="1" applyFont="1" applyFill="1" applyBorder="1" applyAlignment="1">
      <alignment horizontal="left" vertical="center" wrapText="1" indent="1"/>
    </xf>
    <xf numFmtId="3" fontId="3" fillId="0" borderId="0" xfId="1" applyNumberFormat="1" applyFont="1" applyFill="1" applyBorder="1" applyAlignment="1">
      <alignment horizontal="center" vertical="center"/>
    </xf>
    <xf numFmtId="0" fontId="34" fillId="0" borderId="0" xfId="0" applyFont="1" applyProtection="1">
      <protection locked="0"/>
    </xf>
  </cellXfs>
  <cellStyles count="4">
    <cellStyle name="Comma" xfId="1" builtinId="3"/>
    <cellStyle name="Comma [0]" xfId="2" builtinId="6"/>
    <cellStyle name="Hyperlink" xfId="3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tabSelected="1" zoomScale="75" workbookViewId="0">
      <selection activeCell="A20" sqref="A20"/>
    </sheetView>
  </sheetViews>
  <sheetFormatPr defaultColWidth="8.84375" defaultRowHeight="15.5" x14ac:dyDescent="0.35"/>
  <cols>
    <col min="1" max="1" width="27.921875" style="49" customWidth="1"/>
    <col min="2" max="2" width="3.69140625" style="49" customWidth="1"/>
    <col min="3" max="3" width="6.84375" style="49" customWidth="1"/>
    <col min="4" max="4" width="17.4609375" style="49" customWidth="1"/>
    <col min="5" max="5" width="3.07421875" style="49" customWidth="1"/>
    <col min="6" max="6" width="4.3046875" style="49" customWidth="1"/>
    <col min="7" max="8" width="3.765625" style="49" customWidth="1"/>
    <col min="9" max="9" width="3.53515625" style="49" customWidth="1"/>
    <col min="10" max="10" width="22.3828125" style="49" customWidth="1"/>
    <col min="11" max="11" width="7.07421875" style="49" customWidth="1"/>
    <col min="12" max="12" width="10.69140625" style="49" customWidth="1"/>
    <col min="13" max="13" width="6.84375" style="49" customWidth="1"/>
    <col min="14" max="14" width="5" style="49" customWidth="1"/>
    <col min="15" max="15" width="5.84375" style="49" customWidth="1"/>
    <col min="16" max="16" width="9.3046875" style="49" bestFit="1" customWidth="1"/>
    <col min="17" max="16384" width="8.84375" style="49"/>
  </cols>
  <sheetData>
    <row r="1" spans="1:16" ht="18" customHeight="1" x14ac:dyDescent="0.4">
      <c r="A1" s="92"/>
      <c r="B1" s="92"/>
      <c r="C1" s="92"/>
      <c r="D1" s="92"/>
      <c r="E1" s="92"/>
      <c r="F1" s="92"/>
      <c r="G1" s="92"/>
      <c r="H1" s="92"/>
      <c r="I1" s="93"/>
      <c r="J1" s="123" t="str">
        <f>+K1&amp;"/"&amp;L1&amp;"/"&amp;M1&amp;"/"&amp;N1&amp;"/"&amp;O1</f>
        <v>224/TKMPN/WKM/X/2026</v>
      </c>
      <c r="K1" s="89" t="s">
        <v>337</v>
      </c>
      <c r="L1" s="89" t="s">
        <v>332</v>
      </c>
      <c r="M1" s="89" t="s">
        <v>252</v>
      </c>
      <c r="N1" s="89" t="s">
        <v>336</v>
      </c>
      <c r="O1" s="89" t="s">
        <v>333</v>
      </c>
      <c r="P1" s="120"/>
    </row>
    <row r="2" spans="1:16" ht="44.5" hidden="1" customHeight="1" x14ac:dyDescent="0.45">
      <c r="A2" s="92"/>
      <c r="B2" s="92"/>
      <c r="C2" s="92"/>
      <c r="D2" s="92"/>
      <c r="E2" s="92"/>
      <c r="F2" s="92"/>
      <c r="G2" s="92"/>
      <c r="H2" s="92"/>
      <c r="I2" s="92"/>
      <c r="J2" s="92"/>
      <c r="L2" s="84" t="s">
        <v>253</v>
      </c>
      <c r="M2" s="53"/>
    </row>
    <row r="3" spans="1:16" ht="31.5" customHeight="1" x14ac:dyDescent="0.6">
      <c r="A3" s="92"/>
      <c r="B3" s="137" t="s">
        <v>338</v>
      </c>
      <c r="D3" s="95"/>
      <c r="E3" s="96"/>
      <c r="F3" s="96"/>
      <c r="G3" s="97"/>
      <c r="H3" s="98"/>
      <c r="I3" s="98"/>
      <c r="J3" s="98"/>
      <c r="L3" s="84"/>
      <c r="M3" s="62"/>
    </row>
    <row r="4" spans="1:16" ht="29" customHeight="1" x14ac:dyDescent="0.45">
      <c r="A4" s="92"/>
      <c r="B4" s="94"/>
      <c r="C4" s="122"/>
      <c r="D4" s="92"/>
      <c r="E4" s="98"/>
      <c r="F4" s="98"/>
      <c r="G4" s="98"/>
      <c r="H4" s="98"/>
      <c r="I4" s="98"/>
      <c r="J4" s="98"/>
      <c r="L4" s="86"/>
      <c r="M4" s="82"/>
    </row>
    <row r="5" spans="1:16" ht="36.75" customHeight="1" x14ac:dyDescent="0.85">
      <c r="A5" s="92"/>
      <c r="B5" s="100"/>
      <c r="C5" s="131" t="str">
        <f>"#"&amp;Sheet1!L4&amp;Sheet1!M4&amp;Sheet1!N4&amp;Sheet1!O4&amp;Sheet1!P4&amp;Sheet1!Q4&amp;Sheet1!R4&amp;Sheet1!S4&amp;Sheet1!T4&amp;"Rupiah"&amp;"#"</f>
        <v>#Lima Puluh Tujuh Juta Empat Ratus Empat Puluh Dua Ribu Lima Ratus Rupiah#</v>
      </c>
      <c r="D5" s="131"/>
      <c r="E5" s="131"/>
      <c r="F5" s="131"/>
      <c r="G5" s="131"/>
      <c r="H5" s="131"/>
      <c r="I5" s="131"/>
      <c r="J5" s="131"/>
      <c r="K5" s="91"/>
      <c r="L5" s="84"/>
    </row>
    <row r="6" spans="1:16" ht="13" customHeight="1" x14ac:dyDescent="0.45">
      <c r="A6" s="92"/>
      <c r="B6" s="100"/>
      <c r="C6" s="101"/>
      <c r="D6" s="92"/>
      <c r="E6" s="92"/>
      <c r="F6" s="102"/>
      <c r="G6" s="92"/>
      <c r="H6" s="92"/>
      <c r="I6" s="92"/>
      <c r="J6" s="92"/>
    </row>
    <row r="7" spans="1:16" ht="22.5" customHeight="1" x14ac:dyDescent="0.45">
      <c r="A7" s="92"/>
      <c r="B7" s="124" t="s">
        <v>335</v>
      </c>
      <c r="D7" s="113"/>
      <c r="E7" s="101"/>
      <c r="F7" s="101"/>
      <c r="G7" s="101"/>
      <c r="H7" s="101"/>
      <c r="I7" s="101"/>
      <c r="J7" s="101"/>
      <c r="L7" s="84"/>
    </row>
    <row r="8" spans="1:16" ht="28" customHeight="1" x14ac:dyDescent="0.45">
      <c r="A8" s="92"/>
      <c r="B8" s="121" t="s">
        <v>334</v>
      </c>
      <c r="C8" s="121"/>
      <c r="D8" s="103"/>
      <c r="E8" s="101"/>
      <c r="F8" s="101"/>
      <c r="G8" s="101"/>
      <c r="H8" s="101"/>
      <c r="I8" s="101"/>
      <c r="J8" s="101"/>
      <c r="L8" s="84"/>
    </row>
    <row r="9" spans="1:16" ht="27" customHeight="1" x14ac:dyDescent="0.45">
      <c r="A9" s="92"/>
      <c r="B9" s="130" t="s">
        <v>339</v>
      </c>
      <c r="D9" s="101"/>
      <c r="E9" s="101"/>
      <c r="F9" s="104"/>
      <c r="G9" s="105"/>
      <c r="H9" s="104"/>
      <c r="I9" s="104"/>
      <c r="J9" s="99"/>
      <c r="L9" s="84"/>
      <c r="P9" s="103"/>
    </row>
    <row r="10" spans="1:16" ht="21.75" customHeight="1" x14ac:dyDescent="0.45">
      <c r="A10" s="92"/>
      <c r="B10" s="129"/>
      <c r="C10" s="121"/>
      <c r="D10" s="103"/>
      <c r="E10" s="104"/>
      <c r="F10" s="101"/>
      <c r="G10" s="103"/>
      <c r="H10" s="101"/>
      <c r="I10" s="101"/>
      <c r="J10" s="101"/>
      <c r="L10" s="82"/>
    </row>
    <row r="11" spans="1:16" ht="27.75" customHeight="1" x14ac:dyDescent="0.45">
      <c r="A11" s="92"/>
      <c r="B11" s="92"/>
      <c r="C11" s="121"/>
      <c r="D11" s="103"/>
      <c r="E11" s="104"/>
      <c r="F11" s="101"/>
      <c r="G11" s="103"/>
      <c r="H11" s="101"/>
      <c r="I11" s="101"/>
      <c r="J11" s="101"/>
      <c r="L11" s="82"/>
    </row>
    <row r="12" spans="1:16" ht="7" customHeight="1" x14ac:dyDescent="0.45">
      <c r="A12" s="92"/>
      <c r="B12" s="92"/>
      <c r="C12" s="103"/>
      <c r="D12" s="103"/>
      <c r="E12" s="104"/>
      <c r="F12" s="101"/>
      <c r="G12" s="103"/>
      <c r="H12" s="101"/>
      <c r="I12" s="101"/>
      <c r="J12" s="101"/>
      <c r="L12" s="82"/>
    </row>
    <row r="13" spans="1:16" ht="13.5" customHeight="1" x14ac:dyDescent="0.45">
      <c r="A13" s="92"/>
      <c r="B13" s="92"/>
      <c r="C13" s="117"/>
      <c r="D13" s="92"/>
      <c r="E13" s="104"/>
      <c r="F13" s="101"/>
      <c r="G13" s="106"/>
      <c r="H13" s="101"/>
      <c r="I13" s="107"/>
      <c r="J13" s="108"/>
      <c r="K13" s="53"/>
      <c r="L13" s="82"/>
    </row>
    <row r="14" spans="1:16" ht="3.75" hidden="1" customHeight="1" x14ac:dyDescent="0.45">
      <c r="A14" s="92"/>
      <c r="B14" s="92"/>
      <c r="C14" s="115" t="s">
        <v>328</v>
      </c>
      <c r="D14" s="116"/>
      <c r="E14" s="101"/>
      <c r="F14" s="101"/>
      <c r="G14" s="103"/>
      <c r="H14" s="94"/>
      <c r="I14" s="94"/>
      <c r="J14" s="109"/>
      <c r="K14" s="65"/>
    </row>
    <row r="15" spans="1:16" ht="4.5" hidden="1" customHeight="1" x14ac:dyDescent="0.35">
      <c r="A15" s="92"/>
      <c r="B15" s="92"/>
      <c r="C15" s="115" t="s">
        <v>329</v>
      </c>
      <c r="D15" s="116"/>
      <c r="E15" s="92"/>
      <c r="F15" s="92"/>
      <c r="G15" s="110"/>
      <c r="H15" s="110"/>
      <c r="I15" s="92"/>
      <c r="J15" s="111"/>
    </row>
    <row r="16" spans="1:16" ht="19.5" customHeight="1" x14ac:dyDescent="0.45">
      <c r="A16" s="92"/>
      <c r="B16" s="92"/>
      <c r="C16" s="92"/>
      <c r="D16" s="92"/>
      <c r="E16" s="92"/>
      <c r="F16" s="92"/>
      <c r="G16" s="92"/>
      <c r="H16" s="92"/>
      <c r="I16" s="112"/>
      <c r="J16" s="125">
        <v>46308</v>
      </c>
      <c r="L16" s="84"/>
    </row>
    <row r="17" spans="1:18" ht="23" customHeight="1" x14ac:dyDescent="0.45">
      <c r="A17" s="92"/>
      <c r="B17" s="92"/>
      <c r="C17" s="92"/>
      <c r="D17" s="92"/>
      <c r="E17" s="92"/>
      <c r="F17" s="92"/>
      <c r="G17" s="92"/>
      <c r="H17" s="92"/>
      <c r="I17" s="112"/>
      <c r="J17" s="64"/>
      <c r="L17" s="84"/>
    </row>
    <row r="18" spans="1:18" ht="16" customHeight="1" x14ac:dyDescent="0.45">
      <c r="A18" s="92"/>
      <c r="B18" s="92"/>
      <c r="C18" s="92"/>
      <c r="D18" s="92"/>
      <c r="E18" s="92"/>
      <c r="F18" s="92"/>
      <c r="G18" s="92"/>
      <c r="H18" s="92"/>
      <c r="I18" s="92"/>
      <c r="J18" s="126"/>
      <c r="K18" s="68"/>
    </row>
    <row r="19" spans="1:18" ht="64.5" customHeight="1" x14ac:dyDescent="0.5">
      <c r="A19" s="132">
        <v>57442500</v>
      </c>
      <c r="B19" s="132"/>
      <c r="C19" s="132"/>
      <c r="D19" s="92"/>
      <c r="E19" s="92"/>
      <c r="F19" s="92"/>
      <c r="G19" s="92"/>
      <c r="H19" s="92"/>
      <c r="I19" s="92"/>
      <c r="J19" s="127" t="s">
        <v>82</v>
      </c>
    </row>
    <row r="20" spans="1:18" ht="26.25" customHeight="1" x14ac:dyDescent="0.45">
      <c r="A20" s="92"/>
      <c r="B20" s="92"/>
      <c r="C20" s="92"/>
      <c r="D20" s="92"/>
      <c r="E20" s="92"/>
      <c r="F20" s="92"/>
      <c r="G20" s="92"/>
      <c r="H20" s="92"/>
      <c r="I20" s="92"/>
      <c r="J20" s="128" t="s">
        <v>331</v>
      </c>
      <c r="L20" s="84"/>
    </row>
    <row r="21" spans="1:18" ht="16.5" customHeight="1" x14ac:dyDescent="0.45">
      <c r="A21" s="92"/>
      <c r="B21" s="92"/>
      <c r="C21" s="92"/>
      <c r="D21" s="92"/>
      <c r="E21" s="92"/>
      <c r="F21" s="92"/>
      <c r="G21" s="92"/>
      <c r="H21" s="92"/>
      <c r="I21" s="92"/>
      <c r="J21" s="92"/>
      <c r="L21" s="84"/>
    </row>
    <row r="22" spans="1:18" ht="19" x14ac:dyDescent="0.45">
      <c r="C22" s="88"/>
      <c r="J22" s="53"/>
      <c r="L22" s="82"/>
    </row>
    <row r="23" spans="1:18" x14ac:dyDescent="0.35">
      <c r="D23" s="69"/>
      <c r="J23" s="114"/>
    </row>
    <row r="24" spans="1:18" ht="19" x14ac:dyDescent="0.45">
      <c r="D24" s="69"/>
      <c r="K24" s="84"/>
      <c r="L24" s="53"/>
    </row>
    <row r="25" spans="1:18" ht="19" x14ac:dyDescent="0.45">
      <c r="D25" s="69"/>
      <c r="I25" s="118"/>
      <c r="K25" s="85"/>
      <c r="L25" s="82"/>
    </row>
    <row r="26" spans="1:18" ht="19" x14ac:dyDescent="0.45">
      <c r="D26" s="69"/>
      <c r="I26" s="119"/>
      <c r="K26" s="84"/>
      <c r="L26" s="62"/>
    </row>
    <row r="27" spans="1:18" ht="19" x14ac:dyDescent="0.45">
      <c r="C27" s="82"/>
      <c r="D27" s="82"/>
      <c r="I27" s="119"/>
      <c r="K27" s="82"/>
      <c r="L27" s="82"/>
    </row>
    <row r="28" spans="1:18" ht="19" x14ac:dyDescent="0.45">
      <c r="D28" s="69"/>
      <c r="K28" s="85"/>
      <c r="L28" s="82"/>
      <c r="O28" s="85"/>
      <c r="P28" s="83"/>
    </row>
    <row r="29" spans="1:18" ht="24.75" customHeight="1" x14ac:dyDescent="0.45">
      <c r="D29" s="69"/>
      <c r="I29" s="50"/>
      <c r="J29" s="50"/>
      <c r="K29" s="84"/>
      <c r="L29" s="53"/>
    </row>
    <row r="30" spans="1:18" ht="19" x14ac:dyDescent="0.45">
      <c r="D30" s="69"/>
      <c r="K30" s="84"/>
      <c r="L30" s="62"/>
    </row>
    <row r="31" spans="1:18" ht="19" x14ac:dyDescent="0.45">
      <c r="D31" s="70"/>
      <c r="K31" s="82"/>
      <c r="L31" s="82"/>
      <c r="M31" s="53"/>
      <c r="N31" s="58"/>
      <c r="O31" s="59"/>
      <c r="P31" s="59"/>
      <c r="Q31" s="71"/>
      <c r="R31" s="60"/>
    </row>
    <row r="32" spans="1:18" ht="21" x14ac:dyDescent="0.65">
      <c r="B32" s="51"/>
      <c r="E32" s="52"/>
      <c r="F32" s="52"/>
      <c r="G32" s="52"/>
      <c r="H32" s="52"/>
      <c r="I32" s="52"/>
      <c r="J32" s="52"/>
      <c r="K32" s="85"/>
      <c r="L32" s="82"/>
      <c r="M32" s="53"/>
      <c r="N32" s="58"/>
      <c r="O32" s="59"/>
      <c r="P32" s="59"/>
      <c r="Q32" s="71"/>
      <c r="R32" s="63"/>
    </row>
    <row r="33" spans="1:18" ht="38.25" customHeight="1" x14ac:dyDescent="0.35">
      <c r="B33" s="51"/>
      <c r="E33" s="52"/>
      <c r="F33" s="52"/>
      <c r="G33" s="52"/>
      <c r="H33" s="52"/>
      <c r="I33" s="52"/>
      <c r="J33" s="52"/>
    </row>
    <row r="34" spans="1:18" x14ac:dyDescent="0.35">
      <c r="B34" s="54"/>
      <c r="C34" s="133"/>
      <c r="D34" s="133"/>
      <c r="E34" s="133"/>
      <c r="F34" s="133"/>
      <c r="G34" s="133"/>
      <c r="H34" s="133"/>
      <c r="I34" s="133"/>
      <c r="J34" s="133"/>
    </row>
    <row r="35" spans="1:18" x14ac:dyDescent="0.35">
      <c r="B35" s="54"/>
      <c r="C35" s="55"/>
      <c r="D35" s="55"/>
      <c r="E35" s="55"/>
      <c r="F35" s="55"/>
      <c r="G35" s="55"/>
      <c r="H35" s="55"/>
      <c r="I35" s="55"/>
      <c r="J35" s="55"/>
      <c r="K35" s="53"/>
      <c r="M35" s="56"/>
      <c r="N35" s="56"/>
      <c r="O35" s="56"/>
      <c r="P35" s="56"/>
      <c r="Q35" s="56"/>
      <c r="R35" s="57"/>
    </row>
    <row r="36" spans="1:18" x14ac:dyDescent="0.35">
      <c r="B36" s="51"/>
      <c r="C36" s="50"/>
      <c r="E36" s="52"/>
      <c r="F36" s="52"/>
      <c r="G36" s="52"/>
      <c r="H36" s="52"/>
      <c r="I36" s="52"/>
      <c r="J36" s="52"/>
      <c r="K36" s="62"/>
      <c r="L36" s="62"/>
      <c r="R36" s="60"/>
    </row>
    <row r="37" spans="1:18" x14ac:dyDescent="0.35">
      <c r="C37" s="50"/>
      <c r="E37" s="64"/>
      <c r="G37" s="64"/>
      <c r="H37" s="64"/>
      <c r="J37" s="73"/>
      <c r="K37" s="62"/>
      <c r="L37" s="62"/>
      <c r="M37" s="53"/>
      <c r="N37" s="58"/>
      <c r="O37" s="59"/>
      <c r="P37" s="59"/>
      <c r="Q37" s="71"/>
      <c r="R37" s="60"/>
    </row>
    <row r="38" spans="1:18" ht="18.5" x14ac:dyDescent="0.65">
      <c r="C38" s="50"/>
      <c r="D38" s="53"/>
      <c r="E38" s="64"/>
      <c r="G38" s="64"/>
      <c r="H38" s="64"/>
      <c r="J38" s="73"/>
      <c r="K38" s="51"/>
      <c r="M38" s="53"/>
      <c r="N38" s="58"/>
      <c r="O38" s="59"/>
      <c r="P38" s="59"/>
      <c r="Q38" s="71"/>
      <c r="R38" s="63"/>
    </row>
    <row r="39" spans="1:18" x14ac:dyDescent="0.35">
      <c r="C39" s="74"/>
      <c r="G39" s="64"/>
      <c r="H39" s="64"/>
      <c r="J39" s="73"/>
      <c r="K39" s="75"/>
      <c r="L39" s="72"/>
      <c r="M39" s="53"/>
      <c r="N39" s="51"/>
      <c r="O39" s="64"/>
      <c r="P39" s="51"/>
      <c r="Q39" s="76"/>
      <c r="R39" s="60"/>
    </row>
    <row r="40" spans="1:18" ht="18.5" x14ac:dyDescent="0.65">
      <c r="D40" s="66"/>
      <c r="G40" s="64"/>
      <c r="H40" s="64"/>
      <c r="J40" s="77"/>
    </row>
    <row r="41" spans="1:18" x14ac:dyDescent="0.35">
      <c r="D41" s="66"/>
      <c r="G41" s="64"/>
      <c r="H41" s="64"/>
      <c r="J41" s="78"/>
    </row>
    <row r="42" spans="1:18" ht="19" x14ac:dyDescent="0.45">
      <c r="I42" s="67"/>
      <c r="J42" s="67"/>
      <c r="K42" s="84"/>
    </row>
    <row r="43" spans="1:18" ht="19" x14ac:dyDescent="0.45">
      <c r="K43" s="84"/>
      <c r="L43" s="62"/>
    </row>
    <row r="44" spans="1:18" ht="19" x14ac:dyDescent="0.45">
      <c r="A44" s="134"/>
      <c r="B44" s="134"/>
      <c r="C44" s="134"/>
      <c r="J44" s="79"/>
      <c r="K44" s="82"/>
      <c r="L44" s="67"/>
    </row>
    <row r="45" spans="1:18" x14ac:dyDescent="0.35">
      <c r="J45" s="53"/>
      <c r="K45" s="87"/>
      <c r="L45" s="80"/>
    </row>
    <row r="46" spans="1:18" x14ac:dyDescent="0.35">
      <c r="K46" s="61"/>
    </row>
    <row r="49" spans="4:12" x14ac:dyDescent="0.35">
      <c r="K49" s="53"/>
    </row>
    <row r="50" spans="4:12" x14ac:dyDescent="0.35">
      <c r="K50" s="53"/>
    </row>
    <row r="51" spans="4:12" x14ac:dyDescent="0.35">
      <c r="K51" s="53"/>
    </row>
    <row r="52" spans="4:12" x14ac:dyDescent="0.35">
      <c r="D52" s="53"/>
      <c r="K52" s="62"/>
    </row>
    <row r="53" spans="4:12" x14ac:dyDescent="0.35">
      <c r="D53" s="81"/>
    </row>
    <row r="54" spans="4:12" x14ac:dyDescent="0.35">
      <c r="D54" s="53"/>
    </row>
    <row r="55" spans="4:12" x14ac:dyDescent="0.35">
      <c r="K55" s="53"/>
      <c r="L55" s="53"/>
    </row>
    <row r="56" spans="4:12" x14ac:dyDescent="0.35">
      <c r="K56" s="53"/>
    </row>
    <row r="57" spans="4:12" x14ac:dyDescent="0.35">
      <c r="K57" s="53"/>
      <c r="L57" s="62"/>
    </row>
    <row r="58" spans="4:12" x14ac:dyDescent="0.35">
      <c r="K58" s="62"/>
      <c r="L58" s="62"/>
    </row>
    <row r="63" spans="4:12" x14ac:dyDescent="0.35">
      <c r="K63" s="62"/>
    </row>
    <row r="67" spans="9:11" x14ac:dyDescent="0.35">
      <c r="K67" s="53"/>
    </row>
    <row r="68" spans="9:11" x14ac:dyDescent="0.35">
      <c r="K68" s="53"/>
    </row>
    <row r="69" spans="9:11" x14ac:dyDescent="0.35">
      <c r="K69" s="53"/>
    </row>
    <row r="72" spans="9:11" x14ac:dyDescent="0.35">
      <c r="J72" s="53"/>
    </row>
    <row r="73" spans="9:11" x14ac:dyDescent="0.35">
      <c r="J73" s="53"/>
    </row>
    <row r="74" spans="9:11" x14ac:dyDescent="0.35">
      <c r="J74" s="53"/>
    </row>
    <row r="75" spans="9:11" x14ac:dyDescent="0.35">
      <c r="I75" s="53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4">
    <mergeCell ref="C5:J5"/>
    <mergeCell ref="A19:C19"/>
    <mergeCell ref="C34:J34"/>
    <mergeCell ref="A44:C44"/>
  </mergeCells>
  <phoneticPr fontId="0" type="noConversion"/>
  <pageMargins left="0.2" right="0" top="0.74803149606299202" bottom="0.98425196850393704" header="0.511811023622047" footer="0.511811023622047"/>
  <pageSetup scale="9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I1:W34"/>
  <sheetViews>
    <sheetView topLeftCell="K1" zoomScale="75" workbookViewId="0">
      <selection activeCell="Q7" sqref="Q7"/>
    </sheetView>
  </sheetViews>
  <sheetFormatPr defaultRowHeight="15.5" x14ac:dyDescent="0.35"/>
  <cols>
    <col min="1" max="8" width="0" hidden="1" customWidth="1"/>
    <col min="9" max="9" width="12.4609375" style="6" customWidth="1"/>
    <col min="10" max="10" width="50.765625" style="7" customWidth="1"/>
    <col min="11" max="11" width="20.23046875" customWidth="1"/>
    <col min="12" max="12" width="12.765625" customWidth="1"/>
    <col min="13" max="13" width="11.84375" customWidth="1"/>
    <col min="14" max="14" width="9.4609375" customWidth="1"/>
    <col min="15" max="16" width="11.84375" customWidth="1"/>
    <col min="17" max="17" width="10.84375" customWidth="1"/>
    <col min="18" max="18" width="12.4609375" customWidth="1"/>
    <col min="19" max="19" width="10.53515625" customWidth="1"/>
    <col min="20" max="20" width="7.53515625" customWidth="1"/>
    <col min="23" max="23" width="8.84375" style="4"/>
  </cols>
  <sheetData>
    <row r="1" spans="9:20" x14ac:dyDescent="0.35">
      <c r="L1" t="s">
        <v>48</v>
      </c>
      <c r="M1" t="s">
        <v>49</v>
      </c>
      <c r="O1" t="s">
        <v>48</v>
      </c>
      <c r="P1" t="s">
        <v>49</v>
      </c>
    </row>
    <row r="2" spans="9:20" x14ac:dyDescent="0.35">
      <c r="L2" t="s">
        <v>62</v>
      </c>
      <c r="M2" t="s">
        <v>62</v>
      </c>
      <c r="N2" t="s">
        <v>61</v>
      </c>
      <c r="O2" t="s">
        <v>60</v>
      </c>
      <c r="P2" t="s">
        <v>60</v>
      </c>
      <c r="Q2" t="s">
        <v>47</v>
      </c>
      <c r="R2" t="s">
        <v>48</v>
      </c>
      <c r="S2" t="s">
        <v>49</v>
      </c>
      <c r="T2" t="s">
        <v>50</v>
      </c>
    </row>
    <row r="3" spans="9:20" x14ac:dyDescent="0.35">
      <c r="Q3" s="3"/>
    </row>
    <row r="4" spans="9:20" x14ac:dyDescent="0.35">
      <c r="L4" t="str">
        <f>+IF(RIGHT(kwitansi!A19,9)-RIGHT(kwitansi!A19,8)=0,"",IF(RIGHT(kwitansi!A19,8)-RIGHT(kwitansi!A19,6)=0,VLOOKUP(RIGHT(kwitansi!A19,9)-RIGHT(kwitansi!A19,8),Sheet2!$B$4:$C$12,2)&amp;"Juta ",VLOOKUP(RIGHT(kwitansi!A19,9)-RIGHT(kwitansi!A19,8),Sheet2!$B$4:$C$12,2)))</f>
        <v/>
      </c>
      <c r="M4" t="str">
        <f>+IF(RIGHT(kwitansi!A19,8)-RIGHT(kwitansi!A19,7)=0,"",IF(AND(RIGHT(kwitansi!A19,8)-RIGHT(kwitansi!A19,7)=10000000,RIGHT(kwitansi!A19,7)-RIGHT(kwitansi!A19,6)&gt;0),VLOOKUP(RIGHT(kwitansi!A19,8)-RIGHT(kwitansi!A19,6),Sheet2!$D$4:$E$12,2),VLOOKUP(RIGHT(kwitansi!A19,8)-RIGHT(kwitansi!A19,7),Sheet2!$F$4:$G$12,2)))&amp;IF(AND(RIGHT(kwitansi!A19,7)-RIGHT(kwitansi!A19,6)=0,RIGHT(kwitansi!A19,8)-RIGHT(kwitansi!A19,7)&gt;0),"Juta ","")</f>
        <v xml:space="preserve">Lima Puluh </v>
      </c>
      <c r="N4" t="str">
        <f>+IF(RIGHT(kwitansi!A19,7)-RIGHT(kwitansi!A19,6)=0,"",IF(AND(RIGHT(kwitansi!A19,8)-RIGHT(kwitansi!A19,7)=10000000,RIGHT(kwitansi!A19,7)-RIGHT(kwitansi!A19,6)&gt;0),"",VLOOKUP(RIGHT(kwitansi!A19,7)-RIGHT(kwitansi!A19,6),Sheet2!$H$4:$I$12,2)))</f>
        <v xml:space="preserve">Tujuh Juta </v>
      </c>
      <c r="O4" t="str">
        <f>+IF(RIGHT(kwitansi!A19,6)-RIGHT(kwitansi!A19,5)=0,"",IF(AND(RIGHT(kwitansi!A19,5)-RIGHT(kwitansi!A19,3)=0,RIGHT(kwitansi!A19,6)-RIGHT(kwitansi!A19,5)&gt;0),VLOOKUP(RIGHT(kwitansi!A19,6)-RIGHT(kwitansi!A19,5),Sheet2!$J$4:$K$12,2)&amp;"Ribu ",VLOOKUP(RIGHT(kwitansi!A19,6)-RIGHT(kwitansi!A19,5),Sheet2!$J$4:$K$12,2)))</f>
        <v xml:space="preserve">Empat Ratus </v>
      </c>
      <c r="P4" s="3" t="str">
        <f>+IF(RIGHT(kwitansi!A19,5)-RIGHT(kwitansi!A19,4)=0,"",IF(AND(RIGHT(kwitansi!A19,5)-RIGHT(kwitansi!A19,4)=10000,VALUE(RIGHT(kwitansi!A19,4))&gt;=1000),VLOOKUP(RIGHT(kwitansi!A19,5)-RIGHT(kwitansi!A19,3),Sheet2!$L$4:$M$12,2),VLOOKUP(RIGHT(kwitansi!A19,5)-RIGHT(kwitansi!A19,4),Sheet2!$N$4:$O$12,2)))&amp;IF(AND(VALUE(RIGHT(kwitansi!A19,4))&lt;1000,RIGHT(kwitansi!A19,5)-RIGHT(kwitansi!A19,4)&gt;0),"Ribu ","")</f>
        <v xml:space="preserve">Empat Puluh </v>
      </c>
      <c r="Q4" s="3" t="str">
        <f>+IF(RIGHT(kwitansi!A19,4)-RIGHT(kwitansi!A19,3)=0,"",IF(RIGHT(kwitansi!A19,5)-RIGHT(kwitansi!A19,4)=10000,"",IF(AND(VALUE(RIGHT(kwitansi!A19,6))&gt;=20000,VALUE(RIGHT(kwitansi!A19,6)-RIGHT(kwitansi!A19,5))&lt;=900000),VLOOKUP(RIGHT(kwitansi!A19,4)-RIGHT(kwitansi!A19,3),Sheet2!$P$4:$Q$12,2),"Seribu ")))</f>
        <v xml:space="preserve">Dua Ribu </v>
      </c>
      <c r="R4" s="3" t="str">
        <f>+IF(RIGHT(kwitansi!A19,3)-RIGHT(kwitansi!A19,2)=0,"",VLOOKUP(RIGHT(kwitansi!A19,3)-RIGHT(kwitansi!A19,2),Sheet2!$R$4:$S$12,2))</f>
        <v xml:space="preserve">Lima Ratus </v>
      </c>
      <c r="S4" s="3" t="str">
        <f>+IF(RIGHT(kwitansi!A19,2)-RIGHT(kwitansi!A19,1)=0,"",IF(AND(RIGHT(kwitansi!A19,2)-RIGHT(kwitansi!A19,1)=10,VALUE(RIGHT(kwitansi!A19,1))&gt;0),VLOOKUP(VALUE(RIGHT(kwitansi!A19,2)),Sheet2!$X$4:$Y$12,2),VLOOKUP(RIGHT(kwitansi!A19,2)-RIGHT(kwitansi!A19,1),Sheet2!$T$4:$U$12,2)))</f>
        <v/>
      </c>
      <c r="T4" s="3" t="str">
        <f>+IF(RIGHT(kwitansi!A19,2)-RIGHT(kwitansi!A19,1)=10,"",IF(VALUE(RIGHT(kwitansi!A19,1))=0,"",VLOOKUP(VALUE(RIGHT(kwitansi!A19,1)),Sheet2!$V$4:$W$12,2)))</f>
        <v/>
      </c>
    </row>
    <row r="5" spans="9:20" x14ac:dyDescent="0.35">
      <c r="I5" s="6">
        <v>95055</v>
      </c>
      <c r="J5" s="8" t="str">
        <f t="shared" ref="J5:J11" si="0">L5&amp;M5&amp;N5&amp;O5&amp;P5&amp;Q5&amp;R5&amp;S5&amp;T5&amp;"Rupiah"</f>
        <v>Sembilan Puluh Lima Ribu Lima Puluh Lima Rupiah</v>
      </c>
      <c r="L5" t="str">
        <f>+IF(RIGHT(I5,9)-RIGHT(I5,8)=0,"",IF(RIGHT(I5,8)-RIGHT(I5,6)=0,VLOOKUP(RIGHT(I5,9)-RIGHT(I5,8),Sheet2!$B$4:$C$12,2)&amp;"Juta ",VLOOKUP(RIGHT(I5,9)-RIGHT(I5,8),Sheet2!$B$4:$C$12,2)))</f>
        <v/>
      </c>
      <c r="M5" t="str">
        <f>+IF(RIGHT(I5,8)-RIGHT(I5,7)=0,"",IF(AND(RIGHT(I5,8)-RIGHT(I5,7)=10000000,RIGHT(I5,7)-RIGHT(I5,6)&gt;0),VLOOKUP(RIGHT(I5,8)-RIGHT(I5,6),Sheet2!$D$4:$E$12,2),VLOOKUP(RIGHT(I5,8)-RIGHT(I5,7),Sheet2!$F$4:$G$12,2)))&amp;IF(AND(RIGHT(I5,7)-RIGHT(I5,6)=0,RIGHT(I5,8)-RIGHT(I5,7)&gt;0),"Juta ","")</f>
        <v/>
      </c>
      <c r="N5" t="str">
        <f>+IF(RIGHT(I5,7)-RIGHT(I5,6)=0,"",IF(AND(RIGHT(I5,8)-RIGHT(I5,7)=10000000,RIGHT(I5,7)-RIGHT(I5,6)&gt;0),"",VLOOKUP(RIGHT(I5,7)-RIGHT(I5,6),Sheet2!$H$4:$I$12,2)))</f>
        <v/>
      </c>
      <c r="O5" t="str">
        <f>+IF(RIGHT(I5,6)-RIGHT(I5,5)=0,"",IF(AND(RIGHT(I5,5)-RIGHT(I5,3)=0,RIGHT(I5,6)-RIGHT(I5,5)&gt;0),VLOOKUP(RIGHT(I5,6)-RIGHT(I5,5),Sheet2!$J$4:$K$12,2)&amp;"Ribu ",VLOOKUP(RIGHT(I5,6)-RIGHT(I5,5),Sheet2!$J$4:$K$12,2)))</f>
        <v/>
      </c>
      <c r="P5" s="3" t="str">
        <f>+IF(RIGHT(I5,5)-RIGHT(I5,4)=0,"",IF(AND(RIGHT(I5,5)-RIGHT(I5,4)=10000,VALUE(RIGHT(I5,4))&gt;=1000),VLOOKUP(RIGHT(I5,5)-RIGHT(I5,3),Sheet2!$L$4:$M$12,2),VLOOKUP(RIGHT(I5,5)-RIGHT(I5,4),Sheet2!$N$4:$O$12,2)))&amp;IF(AND(VALUE(RIGHT(I5,4))&lt;1000,RIGHT(I5,5)-RIGHT(I5,4)&gt;0),"Ribu ","")</f>
        <v xml:space="preserve">Sembilan Puluh </v>
      </c>
      <c r="Q5" s="3" t="str">
        <f>+IF(RIGHT(I5,4)-RIGHT(I5,3)=0,"",IF(RIGHT(I5,5)-RIGHT(I5,4)=10000,"",IF(AND(VALUE(RIGHT(I5,6))&gt;=20000,VALUE(RIGHT(I5,6)-RIGHT(I5,5))&lt;=900000),VLOOKUP(RIGHT(I5,4)-RIGHT(I5,3),Sheet2!$P$4:$Q$12,2),"Seribu ")))</f>
        <v xml:space="preserve">Lima Ribu </v>
      </c>
      <c r="R5" s="3" t="str">
        <f>+IF(RIGHT(I5,3)-RIGHT(I5,2)=0,"",VLOOKUP(RIGHT(I5,3)-RIGHT(I5,2),Sheet2!$R$4:$S$12,2))</f>
        <v/>
      </c>
      <c r="S5" s="3" t="str">
        <f>+IF(RIGHT(I5,2)-RIGHT(I5,1)=0,"",IF(AND(RIGHT(I5,2)-RIGHT(I5,1)=10,VALUE(RIGHT(I5,1))&gt;0),VLOOKUP(VALUE(RIGHT(I5,2)),Sheet2!$X$4:$Y$12,2),VLOOKUP(RIGHT(I5,2)-RIGHT(I5,1),Sheet2!$T$4:$U$12,2)))</f>
        <v xml:space="preserve">Lima Puluh </v>
      </c>
      <c r="T5" s="3" t="str">
        <f>+IF(RIGHT(I5,2)-RIGHT(I5,1)=10,"",IF(VALUE(RIGHT(I5,1))=0,"",VLOOKUP(VALUE(RIGHT(I5,1)),Sheet2!$V$4:$W$12,2)))</f>
        <v xml:space="preserve">Lima </v>
      </c>
    </row>
    <row r="6" spans="9:20" x14ac:dyDescent="0.35">
      <c r="I6" s="6">
        <v>10054400</v>
      </c>
      <c r="J6" s="8" t="str">
        <f t="shared" si="0"/>
        <v>Sepuluh Juta Lima Puluh Empat Ribu Empat Ratus Rupiah</v>
      </c>
      <c r="L6" t="str">
        <f>+IF(RIGHT(I6,9)-RIGHT(I6,8)=0,"",IF(RIGHT(I6,8)-RIGHT(I6,6)=0,VLOOKUP(RIGHT(I6,9)-RIGHT(I6,8),Sheet2!$B$4:$C$12,2)&amp;"Juta ",VLOOKUP(RIGHT(I6,9)-RIGHT(I6,8),Sheet2!$B$4:$C$12,2)))</f>
        <v/>
      </c>
      <c r="M6" t="str">
        <f>+IF(RIGHT(I6,8)-RIGHT(I6,7)=0,"",IF(AND(RIGHT(I6,8)-RIGHT(I6,7)=10000000,RIGHT(I6,7)-RIGHT(I6,6)&gt;0),VLOOKUP(RIGHT(I6,8)-RIGHT(I6,6),Sheet2!$D$4:$E$12,2),VLOOKUP(RIGHT(I6,8)-RIGHT(I6,7),Sheet2!$F$4:$G$12,2)))&amp;IF(AND(RIGHT(I6,7)-RIGHT(I6,6)=0,RIGHT(I6,8)-RIGHT(I6,7)&gt;0),"Juta ","")</f>
        <v xml:space="preserve">Sepuluh Juta </v>
      </c>
      <c r="N6" t="str">
        <f>+IF(RIGHT(I6,7)-RIGHT(I6,6)=0,"",IF(AND(RIGHT(I6,8)-RIGHT(I6,7)=10000000,RIGHT(I6,7)-RIGHT(I6,6)&gt;0),"",VLOOKUP(RIGHT(I6,7)-RIGHT(I6,6),Sheet2!$H$4:$I$12,2)))</f>
        <v/>
      </c>
      <c r="O6" t="str">
        <f>+IF(RIGHT(I6,6)-RIGHT(I6,5)=0,"",IF(AND(RIGHT(I6,5)-RIGHT(I6,3)=0,RIGHT(I6,6)-RIGHT(I6,5)&gt;0),VLOOKUP(RIGHT(I6,6)-RIGHT(I6,5),Sheet2!$J$4:$K$12,2)&amp;"Ribu ",VLOOKUP(RIGHT(I6,6)-RIGHT(I6,5),Sheet2!$J$4:$K$12,2)))</f>
        <v/>
      </c>
      <c r="P6" s="3" t="str">
        <f>+IF(RIGHT(I6,5)-RIGHT(I6,4)=0,"",IF(AND(RIGHT(I6,5)-RIGHT(I6,4)=10000,VALUE(RIGHT(I6,4))&gt;=1000),VLOOKUP(RIGHT(I6,5)-RIGHT(I6,3),Sheet2!$L$4:$M$12,2),VLOOKUP(RIGHT(I6,5)-RIGHT(I6,4),Sheet2!$N$4:$O$12,2)))&amp;IF(AND(VALUE(RIGHT(I6,4))&lt;1000,RIGHT(I6,5)-RIGHT(I6,4)&gt;0),"Ribu ","")</f>
        <v xml:space="preserve">Lima Puluh </v>
      </c>
      <c r="Q6" s="3" t="str">
        <f>+IF(RIGHT(I6,4)-RIGHT(I6,3)=0,"",IF(RIGHT(I6,5)-RIGHT(I6,4)=10000,"",IF(AND(VALUE(RIGHT(I6,6))&gt;=20000,VALUE(RIGHT(I6,6)-RIGHT(I6,5))&lt;=900000),VLOOKUP(RIGHT(I6,4)-RIGHT(I6,3),Sheet2!$P$4:$Q$12,2),"Seribu ")))</f>
        <v xml:space="preserve">Empat Ribu </v>
      </c>
      <c r="R6" s="3" t="str">
        <f>+IF(RIGHT(I6,3)-RIGHT(I6,2)=0,"",VLOOKUP(RIGHT(I6,3)-RIGHT(I6,2),Sheet2!$R$4:$S$12,2))</f>
        <v xml:space="preserve">Empat Ratus </v>
      </c>
      <c r="S6" s="3" t="str">
        <f>+IF(RIGHT(I6,2)-RIGHT(I6,1)=0,"",IF(AND(RIGHT(I6,2)-RIGHT(I6,1)=10,VALUE(RIGHT(I6,1))&gt;0),VLOOKUP(VALUE(RIGHT(I6,2)),Sheet2!$X$4:$Y$12,2),VLOOKUP(RIGHT(I6,2)-RIGHT(I6,1),Sheet2!$T$4:$U$12,2)))</f>
        <v/>
      </c>
      <c r="T6" s="3" t="str">
        <f>+IF(RIGHT(I6,2)-RIGHT(I6,1)=10,"",IF(VALUE(RIGHT(I6,1))=0,"",VLOOKUP(VALUE(RIGHT(I6,1)),Sheet2!$V$4:$W$12,2)))</f>
        <v/>
      </c>
    </row>
    <row r="7" spans="9:20" ht="31" x14ac:dyDescent="0.35">
      <c r="I7" s="6">
        <v>87564121</v>
      </c>
      <c r="J7" s="8" t="str">
        <f t="shared" si="0"/>
        <v>Delapan Puluh Tujuh Juta Lima Ratus Enam Puluh Empat Ribu Seratus Dua Puluh Satu Rupiah</v>
      </c>
      <c r="L7" t="str">
        <f>+IF(RIGHT(I7,9)-RIGHT(I7,8)=0,"",IF(RIGHT(I7,8)-RIGHT(I7,6)=0,VLOOKUP(RIGHT(I7,9)-RIGHT(I7,8),Sheet2!$B$4:$C$12,2)&amp;"Juta ",VLOOKUP(RIGHT(I7,9)-RIGHT(I7,8),Sheet2!$B$4:$C$12,2)))</f>
        <v/>
      </c>
      <c r="M7" t="str">
        <f>+IF(RIGHT(I7,8)-RIGHT(I7,7)=0,"",IF(AND(RIGHT(I7,8)-RIGHT(I7,7)=10000000,RIGHT(I7,7)-RIGHT(I7,6)&gt;0),VLOOKUP(RIGHT(I7,8)-RIGHT(I7,6),Sheet2!$D$4:$E$12,2),VLOOKUP(RIGHT(I7,8)-RIGHT(I7,7),Sheet2!$F$4:$G$12,2)))&amp;IF(AND(RIGHT(I7,7)-RIGHT(I7,6)=0,RIGHT(I7,8)-RIGHT(I7,7)&gt;0),"Juta ","")</f>
        <v xml:space="preserve">Delapan Puluh </v>
      </c>
      <c r="N7" t="str">
        <f>+IF(RIGHT(I7,7)-RIGHT(I7,6)=0,"",IF(AND(RIGHT(I7,8)-RIGHT(I7,7)=10000000,RIGHT(I7,7)-RIGHT(I7,6)&gt;0),"",VLOOKUP(RIGHT(I7,7)-RIGHT(I7,6),Sheet2!$H$4:$I$12,2)))</f>
        <v xml:space="preserve">Tujuh Juta </v>
      </c>
      <c r="O7" t="str">
        <f>+IF(RIGHT(I7,6)-RIGHT(I7,5)=0,"",IF(AND(RIGHT(I7,5)-RIGHT(I7,3)=0,RIGHT(I7,6)-RIGHT(I7,5)&gt;0),VLOOKUP(RIGHT(I7,6)-RIGHT(I7,5),Sheet2!$J$4:$K$12,2)&amp;"Ribu ",VLOOKUP(RIGHT(I7,6)-RIGHT(I7,5),Sheet2!$J$4:$K$12,2)))</f>
        <v xml:space="preserve">Lima Ratus </v>
      </c>
      <c r="P7" s="3" t="str">
        <f>+IF(RIGHT(I7,5)-RIGHT(I7,4)=0,"",IF(AND(RIGHT(I7,5)-RIGHT(I7,4)=10000,VALUE(RIGHT(I7,4))&gt;=1000),VLOOKUP(RIGHT(I7,5)-RIGHT(I7,3),Sheet2!$L$4:$M$12,2),VLOOKUP(RIGHT(I7,5)-RIGHT(I7,4),Sheet2!$N$4:$O$12,2)))&amp;IF(AND(VALUE(RIGHT(I7,4))&lt;1000,RIGHT(I7,5)-RIGHT(I7,4)&gt;0),"Ribu ","")</f>
        <v xml:space="preserve">Enam Puluh </v>
      </c>
      <c r="Q7" s="3" t="str">
        <f>+IF(RIGHT(I7,4)-RIGHT(I7,3)=0,"",IF(RIGHT(I7,5)-RIGHT(I7,4)=10000,"",IF(AND(VALUE(RIGHT(I7,6))&gt;=20000,VALUE(RIGHT(I7,6)-RIGHT(I7,5))&lt;=900000),VLOOKUP(RIGHT(I7,4)-RIGHT(I7,3),Sheet2!$P$4:$Q$12,2),"Seribu ")))</f>
        <v xml:space="preserve">Empat Ribu </v>
      </c>
      <c r="R7" s="3" t="str">
        <f>+IF(RIGHT(I7,3)-RIGHT(I7,2)=0,"",VLOOKUP(RIGHT(I7,3)-RIGHT(I7,2),Sheet2!$R$4:$S$12,2))</f>
        <v xml:space="preserve">Seratus </v>
      </c>
      <c r="S7" s="3" t="str">
        <f>+IF(RIGHT(I7,2)-RIGHT(I7,1)=0,"",IF(AND(RIGHT(I7,2)-RIGHT(I7,1)=10,VALUE(RIGHT(I7,1))&gt;0),VLOOKUP(VALUE(RIGHT(I7,2)),Sheet2!$X$4:$Y$12,2),VLOOKUP(RIGHT(I7,2)-RIGHT(I7,1),Sheet2!$T$4:$U$12,2)))</f>
        <v xml:space="preserve">Dua Puluh </v>
      </c>
      <c r="T7" s="3" t="str">
        <f>+IF(RIGHT(I7,2)-RIGHT(I7,1)=10,"",IF(VALUE(RIGHT(I7,1))=0,"",VLOOKUP(VALUE(RIGHT(I7,1)),Sheet2!$V$4:$W$12,2)))</f>
        <v xml:space="preserve">Satu </v>
      </c>
    </row>
    <row r="8" spans="9:20" x14ac:dyDescent="0.35">
      <c r="I8" s="6">
        <v>101010101</v>
      </c>
      <c r="J8" s="8" t="str">
        <f t="shared" si="0"/>
        <v>Seratus Satu Juta Sepuluh Ribu Seratus Satu Rupiah</v>
      </c>
      <c r="L8" t="str">
        <f>+IF(RIGHT(I8,9)-RIGHT(I8,8)=0,"",IF(RIGHT(I8,8)-RIGHT(I8,6)=0,VLOOKUP(RIGHT(I8,9)-RIGHT(I8,8),Sheet2!$B$4:$C$12,2)&amp;"Juta ",VLOOKUP(RIGHT(I8,9)-RIGHT(I8,8),Sheet2!$B$4:$C$12,2)))</f>
        <v xml:space="preserve">Seratus </v>
      </c>
      <c r="M8" t="str">
        <f>+IF(RIGHT(I8,8)-RIGHT(I8,7)=0,"",IF(AND(RIGHT(I8,8)-RIGHT(I8,7)=10000000,RIGHT(I8,7)-RIGHT(I8,6)&gt;0),VLOOKUP(RIGHT(I8,8)-RIGHT(I8,6),Sheet2!$D$4:$E$12,2),VLOOKUP(RIGHT(I8,8)-RIGHT(I8,7),Sheet2!$F$4:$G$12,2)))&amp;IF(AND(RIGHT(I8,7)-RIGHT(I8,6)=0,RIGHT(I8,8)-RIGHT(I8,7)&gt;0),"Juta ","")</f>
        <v/>
      </c>
      <c r="N8" t="str">
        <f>+IF(RIGHT(I8,7)-RIGHT(I8,6)=0,"",IF(AND(RIGHT(I8,8)-RIGHT(I8,7)=10000000,RIGHT(I8,7)-RIGHT(I8,6)&gt;0),"",VLOOKUP(RIGHT(I8,7)-RIGHT(I8,6),Sheet2!$H$4:$I$12,2)))</f>
        <v xml:space="preserve">Satu Juta </v>
      </c>
      <c r="O8" t="str">
        <f>+IF(RIGHT(I8,6)-RIGHT(I8,5)=0,"",IF(AND(RIGHT(I8,5)-RIGHT(I8,3)=0,RIGHT(I8,6)-RIGHT(I8,5)&gt;0),VLOOKUP(RIGHT(I8,6)-RIGHT(I8,5),Sheet2!$J$4:$K$12,2)&amp;"Ribu ",VLOOKUP(RIGHT(I8,6)-RIGHT(I8,5),Sheet2!$J$4:$K$12,2)))</f>
        <v/>
      </c>
      <c r="P8" s="3" t="str">
        <f>+IF(RIGHT(I8,5)-RIGHT(I8,4)=0,"",IF(AND(RIGHT(I8,5)-RIGHT(I8,4)=10000,VALUE(RIGHT(I8,4))&gt;=1000),VLOOKUP(RIGHT(I8,5)-RIGHT(I8,3),Sheet2!$L$4:$M$12,2),VLOOKUP(RIGHT(I8,5)-RIGHT(I8,4),Sheet2!$N$4:$O$12,2)))&amp;IF(AND(VALUE(RIGHT(I8,4))&lt;1000,RIGHT(I8,5)-RIGHT(I8,4)&gt;0),"Ribu ","")</f>
        <v xml:space="preserve">Sepuluh Ribu </v>
      </c>
      <c r="Q8" s="3" t="str">
        <f>+IF(RIGHT(I8,4)-RIGHT(I8,3)=0,"",IF(RIGHT(I8,5)-RIGHT(I8,4)=10000,"",IF(AND(VALUE(RIGHT(I8,6))&gt;=20000,VALUE(RIGHT(I8,6)-RIGHT(I8,5))&lt;=900000),VLOOKUP(RIGHT(I8,4)-RIGHT(I8,3),Sheet2!$P$4:$Q$12,2),"Seribu ")))</f>
        <v/>
      </c>
      <c r="R8" s="3" t="str">
        <f>+IF(RIGHT(I8,3)-RIGHT(I8,2)=0,"",VLOOKUP(RIGHT(I8,3)-RIGHT(I8,2),Sheet2!$R$4:$S$12,2))</f>
        <v xml:space="preserve">Seratus </v>
      </c>
      <c r="S8" s="3" t="str">
        <f>+IF(RIGHT(I8,2)-RIGHT(I8,1)=0,"",IF(AND(RIGHT(I8,2)-RIGHT(I8,1)=10,VALUE(RIGHT(I8,1))&gt;0),VLOOKUP(VALUE(RIGHT(I8,2)),Sheet2!$X$4:$Y$12,2),VLOOKUP(RIGHT(I8,2)-RIGHT(I8,1),Sheet2!$T$4:$U$12,2)))</f>
        <v/>
      </c>
      <c r="T8" s="3" t="str">
        <f>+IF(RIGHT(I8,2)-RIGHT(I8,1)=10,"",IF(VALUE(RIGHT(I8,1))=0,"",VLOOKUP(VALUE(RIGHT(I8,1)),Sheet2!$V$4:$W$12,2)))</f>
        <v xml:space="preserve">Satu </v>
      </c>
    </row>
    <row r="9" spans="9:20" ht="31" x14ac:dyDescent="0.35">
      <c r="I9" s="6">
        <v>54547</v>
      </c>
      <c r="J9" s="8" t="str">
        <f t="shared" si="0"/>
        <v>Lima Puluh Empat Ribu Lima Ratus Empat Puluh Tujuh Rupiah</v>
      </c>
      <c r="L9" t="str">
        <f>+IF(RIGHT(I9,9)-RIGHT(I9,8)=0,"",IF(RIGHT(I9,8)-RIGHT(I9,6)=0,VLOOKUP(RIGHT(I9,9)-RIGHT(I9,8),Sheet2!$B$4:$C$12,2)&amp;"Juta ",VLOOKUP(RIGHT(I9,9)-RIGHT(I9,8),Sheet2!$B$4:$C$12,2)))</f>
        <v/>
      </c>
      <c r="M9" t="str">
        <f>+IF(RIGHT(I9,8)-RIGHT(I9,7)=0,"",IF(AND(RIGHT(I9,8)-RIGHT(I9,7)=10000000,RIGHT(I9,7)-RIGHT(I9,6)&gt;0),VLOOKUP(RIGHT(I9,8)-RIGHT(I9,6),Sheet2!$D$4:$E$12,2),VLOOKUP(RIGHT(I9,8)-RIGHT(I9,7),Sheet2!$F$4:$G$12,2)))&amp;IF(AND(RIGHT(I9,7)-RIGHT(I9,6)=0,RIGHT(I9,8)-RIGHT(I9,7)&gt;0),"Juta ","")</f>
        <v/>
      </c>
      <c r="N9" t="str">
        <f>+IF(RIGHT(I9,7)-RIGHT(I9,6)=0,"",IF(AND(RIGHT(I9,8)-RIGHT(I9,7)=10000000,RIGHT(I9,7)-RIGHT(I9,6)&gt;0),"",VLOOKUP(RIGHT(I9,7)-RIGHT(I9,6),Sheet2!$H$4:$I$12,2)))</f>
        <v/>
      </c>
      <c r="O9" t="str">
        <f>+IF(RIGHT(I9,6)-RIGHT(I9,5)=0,"",IF(AND(RIGHT(I9,5)-RIGHT(I9,3)=0,RIGHT(I9,6)-RIGHT(I9,5)&gt;0),VLOOKUP(RIGHT(I9,6)-RIGHT(I9,5),Sheet2!$J$4:$K$12,2)&amp;"Ribu ",VLOOKUP(RIGHT(I9,6)-RIGHT(I9,5),Sheet2!$J$4:$K$12,2)))</f>
        <v/>
      </c>
      <c r="P9" s="3" t="str">
        <f>+IF(RIGHT(I9,5)-RIGHT(I9,4)=0,"",IF(AND(RIGHT(I9,5)-RIGHT(I9,4)=10000,VALUE(RIGHT(I9,4))&gt;=1000),VLOOKUP(RIGHT(I9,5)-RIGHT(I9,3),Sheet2!$L$4:$M$12,2),VLOOKUP(RIGHT(I9,5)-RIGHT(I9,4),Sheet2!$N$4:$O$12,2)))&amp;IF(AND(VALUE(RIGHT(I9,4))&lt;1000,RIGHT(I9,5)-RIGHT(I9,4)&gt;0),"Ribu ","")</f>
        <v xml:space="preserve">Lima Puluh </v>
      </c>
      <c r="Q9" s="3" t="str">
        <f>+IF(RIGHT(I9,4)-RIGHT(I9,3)=0,"",IF(RIGHT(I9,5)-RIGHT(I9,4)=10000,"",IF(AND(VALUE(RIGHT(I9,6))&gt;=20000,VALUE(RIGHT(I9,6)-RIGHT(I9,5))&lt;=900000),VLOOKUP(RIGHT(I9,4)-RIGHT(I9,3),Sheet2!$P$4:$Q$12,2),"Seribu ")))</f>
        <v xml:space="preserve">Empat Ribu </v>
      </c>
      <c r="R9" s="3" t="str">
        <f>+IF(RIGHT(I9,3)-RIGHT(I9,2)=0,"",VLOOKUP(RIGHT(I9,3)-RIGHT(I9,2),Sheet2!$R$4:$S$12,2))</f>
        <v xml:space="preserve">Lima Ratus </v>
      </c>
      <c r="S9" s="3" t="str">
        <f>+IF(RIGHT(I9,2)-RIGHT(I9,1)=0,"",IF(AND(RIGHT(I9,2)-RIGHT(I9,1)=10,VALUE(RIGHT(I9,1))&gt;0),VLOOKUP(VALUE(RIGHT(I9,2)),Sheet2!$X$4:$Y$12,2),VLOOKUP(RIGHT(I9,2)-RIGHT(I9,1),Sheet2!$T$4:$U$12,2)))</f>
        <v xml:space="preserve">Empat Puluh </v>
      </c>
      <c r="T9" s="3" t="str">
        <f>+IF(RIGHT(I9,2)-RIGHT(I9,1)=10,"",IF(VALUE(RIGHT(I9,1))=0,"",VLOOKUP(VALUE(RIGHT(I9,1)),Sheet2!$V$4:$W$12,2)))</f>
        <v xml:space="preserve">Tujuh </v>
      </c>
    </row>
    <row r="10" spans="9:20" x14ac:dyDescent="0.35">
      <c r="I10" s="6">
        <v>12</v>
      </c>
      <c r="J10" s="8" t="str">
        <f t="shared" si="0"/>
        <v>Dua Belas Rupiah</v>
      </c>
      <c r="L10" t="str">
        <f>+IF(RIGHT(I10,9)-RIGHT(I10,8)=0,"",IF(RIGHT(I10,8)-RIGHT(I10,6)=0,VLOOKUP(RIGHT(I10,9)-RIGHT(I10,8),Sheet2!$B$4:$C$12,2)&amp;"Juta ",VLOOKUP(RIGHT(I10,9)-RIGHT(I10,8),Sheet2!$B$4:$C$12,2)))</f>
        <v/>
      </c>
      <c r="M10" t="str">
        <f>+IF(RIGHT(I10,8)-RIGHT(I10,7)=0,"",IF(AND(RIGHT(I10,8)-RIGHT(I10,7)=10000000,RIGHT(I10,7)-RIGHT(I10,6)&gt;0),VLOOKUP(RIGHT(I10,8)-RIGHT(I10,6),Sheet2!$D$4:$E$12,2),VLOOKUP(RIGHT(I10,8)-RIGHT(I10,7),Sheet2!$F$4:$G$12,2)))&amp;IF(AND(RIGHT(I10,7)-RIGHT(I10,6)=0,RIGHT(I10,8)-RIGHT(I10,7)&gt;0),"Juta ","")</f>
        <v/>
      </c>
      <c r="N10" t="str">
        <f>+IF(RIGHT(I10,7)-RIGHT(I10,6)=0,"",IF(AND(RIGHT(I10,8)-RIGHT(I10,7)=10000000,RIGHT(I10,7)-RIGHT(I10,6)&gt;0),"",VLOOKUP(RIGHT(I10,7)-RIGHT(I10,6),Sheet2!$H$4:$I$12,2)))</f>
        <v/>
      </c>
      <c r="O10" t="str">
        <f>+IF(RIGHT(I10,6)-RIGHT(I10,5)=0,"",IF(AND(RIGHT(I10,5)-RIGHT(I10,3)=0,RIGHT(I10,6)-RIGHT(I10,5)&gt;0),VLOOKUP(RIGHT(I10,6)-RIGHT(I10,5),Sheet2!$J$4:$K$12,2)&amp;"Ribu ",VLOOKUP(RIGHT(I10,6)-RIGHT(I10,5),Sheet2!$J$4:$K$12,2)))</f>
        <v/>
      </c>
      <c r="P10" s="3" t="str">
        <f>+IF(RIGHT(I10,5)-RIGHT(I10,4)=0,"",IF(AND(RIGHT(I10,5)-RIGHT(I10,4)=10000,VALUE(RIGHT(I10,4))&gt;=1000),VLOOKUP(RIGHT(I10,5)-RIGHT(I10,3),Sheet2!$L$4:$M$12,2),VLOOKUP(RIGHT(I10,5)-RIGHT(I10,4),Sheet2!$N$4:$O$12,2)))&amp;IF(AND(VALUE(RIGHT(I10,4))&lt;1000,RIGHT(I10,5)-RIGHT(I10,4)&gt;0),"Ribu ","")</f>
        <v/>
      </c>
      <c r="Q10" s="3" t="str">
        <f>+IF(RIGHT(I10,4)-RIGHT(I10,3)=0,"",IF(RIGHT(I10,5)-RIGHT(I10,4)=10000,"",IF(AND(VALUE(RIGHT(I10,6))&gt;=20000,VALUE(RIGHT(I10,6)-RIGHT(I10,5))&lt;=900000),VLOOKUP(RIGHT(I10,4)-RIGHT(I10,3),Sheet2!$P$4:$Q$12,2),"Seribu ")))</f>
        <v/>
      </c>
      <c r="R10" s="3" t="str">
        <f>+IF(RIGHT(I10,3)-RIGHT(I10,2)=0,"",VLOOKUP(RIGHT(I10,3)-RIGHT(I10,2),Sheet2!$R$4:$S$12,2))</f>
        <v/>
      </c>
      <c r="S10" s="3" t="str">
        <f>+IF(RIGHT(I10,2)-RIGHT(I10,1)=0,"",IF(AND(RIGHT(I10,2)-RIGHT(I10,1)=10,VALUE(RIGHT(I10,1))&gt;0),VLOOKUP(VALUE(RIGHT(I10,2)),Sheet2!$X$4:$Y$12,2),VLOOKUP(RIGHT(I10,2)-RIGHT(I10,1),Sheet2!$T$4:$U$12,2)))</f>
        <v xml:space="preserve">Dua Belas </v>
      </c>
      <c r="T10" s="3" t="str">
        <f>+IF(RIGHT(I10,2)-RIGHT(I10,1)=10,"",IF(VALUE(RIGHT(I10,1))=0,"",VLOOKUP(VALUE(RIGHT(I10,1)),Sheet2!$V$4:$W$12,2)))</f>
        <v/>
      </c>
    </row>
    <row r="11" spans="9:20" ht="31" x14ac:dyDescent="0.35">
      <c r="I11" s="6">
        <v>95443</v>
      </c>
      <c r="J11" s="8" t="str">
        <f t="shared" si="0"/>
        <v>Sembilan Puluh Lima Ribu Empat Ratus Empat Puluh Tiga Rupiah</v>
      </c>
      <c r="L11" t="str">
        <f>+IF(RIGHT(I11,9)-RIGHT(I11,8)=0,"",IF(RIGHT(I11,8)-RIGHT(I11,6)=0,VLOOKUP(RIGHT(I11,9)-RIGHT(I11,8),Sheet2!$B$4:$C$12,2)&amp;"Juta ",VLOOKUP(RIGHT(I11,9)-RIGHT(I11,8),Sheet2!$B$4:$C$12,2)))</f>
        <v/>
      </c>
      <c r="M11" t="str">
        <f>+IF(RIGHT(I11,8)-RIGHT(I11,7)=0,"",IF(AND(RIGHT(I11,8)-RIGHT(I11,7)=10000000,RIGHT(I11,7)-RIGHT(I11,6)&gt;0),VLOOKUP(RIGHT(I11,8)-RIGHT(I11,6),Sheet2!$D$4:$E$12,2),VLOOKUP(RIGHT(I11,8)-RIGHT(I11,7),Sheet2!$F$4:$G$12,2)))&amp;IF(AND(RIGHT(I11,7)-RIGHT(I11,6)=0,RIGHT(I11,8)-RIGHT(I11,7)&gt;0),"Juta ","")</f>
        <v/>
      </c>
      <c r="N11" t="str">
        <f>+IF(RIGHT(I11,7)-RIGHT(I11,6)=0,"",IF(AND(RIGHT(I11,8)-RIGHT(I11,7)=10000000,RIGHT(I11,7)-RIGHT(I11,6)&gt;0),"",VLOOKUP(RIGHT(I11,7)-RIGHT(I11,6),Sheet2!$H$4:$I$12,2)))</f>
        <v/>
      </c>
      <c r="O11" t="str">
        <f>+IF(RIGHT(I11,6)-RIGHT(I11,5)=0,"",IF(AND(RIGHT(I11,5)-RIGHT(I11,3)=0,RIGHT(I11,6)-RIGHT(I11,5)&gt;0),VLOOKUP(RIGHT(I11,6)-RIGHT(I11,5),Sheet2!$J$4:$K$12,2)&amp;"Ribu ",VLOOKUP(RIGHT(I11,6)-RIGHT(I11,5),Sheet2!$J$4:$K$12,2)))</f>
        <v/>
      </c>
      <c r="P11" s="3" t="str">
        <f>+IF(RIGHT(I11,5)-RIGHT(I11,4)=0,"",IF(AND(RIGHT(I11,5)-RIGHT(I11,4)=10000,VALUE(RIGHT(I11,4))&gt;=1000),VLOOKUP(RIGHT(I11,5)-RIGHT(I11,3),Sheet2!$L$4:$M$12,2),VLOOKUP(RIGHT(I11,5)-RIGHT(I11,4),Sheet2!$N$4:$O$12,2)))&amp;IF(AND(VALUE(RIGHT(I11,4))&lt;1000,RIGHT(I11,5)-RIGHT(I11,4)&gt;0),"Ribu ","")</f>
        <v xml:space="preserve">Sembilan Puluh </v>
      </c>
      <c r="Q11" s="3" t="str">
        <f>+IF(RIGHT(I11,4)-RIGHT(I11,3)=0,"",IF(RIGHT(I11,5)-RIGHT(I11,4)=10000,"",IF(AND(VALUE(RIGHT(I11,6))&gt;=20000,VALUE(RIGHT(I11,6)-RIGHT(I11,5))&lt;=900000),VLOOKUP(RIGHT(I11,4)-RIGHT(I11,3),Sheet2!$P$4:$Q$12,2),"Seribu ")))</f>
        <v xml:space="preserve">Lima Ribu </v>
      </c>
      <c r="R11" s="3" t="str">
        <f>+IF(RIGHT(I11,3)-RIGHT(I11,2)=0,"",VLOOKUP(RIGHT(I11,3)-RIGHT(I11,2),Sheet2!$R$4:$S$12,2))</f>
        <v xml:space="preserve">Empat Ratus </v>
      </c>
      <c r="S11" s="3" t="str">
        <f>+IF(RIGHT(I11,2)-RIGHT(I11,1)=0,"",IF(AND(RIGHT(I11,2)-RIGHT(I11,1)=10,VALUE(RIGHT(I11,1))&gt;0),VLOOKUP(VALUE(RIGHT(I11,2)),Sheet2!$X$4:$Y$12,2),VLOOKUP(RIGHT(I11,2)-RIGHT(I11,1),Sheet2!$T$4:$U$12,2)))</f>
        <v xml:space="preserve">Empat Puluh </v>
      </c>
      <c r="T11" s="3" t="str">
        <f>+IF(RIGHT(I11,2)-RIGHT(I11,1)=10,"",IF(VALUE(RIGHT(I11,1))=0,"",VLOOKUP(VALUE(RIGHT(I11,1)),Sheet2!$V$4:$W$12,2)))</f>
        <v xml:space="preserve">Tiga </v>
      </c>
    </row>
    <row r="16" spans="9:20" x14ac:dyDescent="0.35">
      <c r="J16" s="9"/>
      <c r="K16" s="1"/>
      <c r="L16" s="1"/>
      <c r="M16" s="1"/>
      <c r="N16" s="1"/>
      <c r="O16" s="1"/>
      <c r="P16" s="1"/>
      <c r="Q16" s="1"/>
      <c r="R16" s="1"/>
      <c r="S16" s="1"/>
    </row>
    <row r="23" spans="9:19" hidden="1" x14ac:dyDescent="0.35">
      <c r="I23" s="6">
        <v>7101</v>
      </c>
      <c r="J23" s="8" t="e">
        <f>+IF(RIGHT(I23,4)-RIGHT(I23,3)=0,"",VLOOKUP(RIGHT(I23,4)-RIGHT(I23,3),Sheet2!$P$4:$Q$12,2))&amp;IF(RIGHT(I23,3)-RIGHT(I23,2)=0,"",VLOOKUP(RIGHT(I23,3)-RIGHT(I23,2),Sheet2!$R$6:$S$12,2))&amp;IF(RIGHT(I23,2)-RIGHT(I23,1)=0,"",VLOOKUP(RIGHT(I23,2)-RIGHT(I23,1),Sheet2!$T$4:$U$12,2))&amp;IF(VALUE(RIGHT(I23,1))=0,"",VLOOKUP(VALUE(RIGHT(I23,1)),Sheet2!$V$4:$W$12,2))&amp;"Rupiah"</f>
        <v>#N/A</v>
      </c>
      <c r="K23" s="2"/>
      <c r="L23" s="2"/>
      <c r="M23" s="2"/>
      <c r="N23" s="2"/>
      <c r="O23" s="2"/>
      <c r="P23" s="2"/>
      <c r="Q23" s="2"/>
      <c r="R23" s="2"/>
      <c r="S23" s="2"/>
    </row>
    <row r="24" spans="9:19" hidden="1" x14ac:dyDescent="0.35">
      <c r="I24" s="6">
        <v>7000</v>
      </c>
      <c r="J24" s="10" t="str">
        <f>+IF(RIGHT(I24,4)-RIGHT(I24,3)=0,"",VLOOKUP(RIGHT(I24,4)-RIGHT(I24,3),Sheet2!$P$4:$Q$12,2))&amp;IF(RIGHT(I24,3)-RIGHT(I24,2)=0,"",VLOOKUP(RIGHT(I24,3)-RIGHT(I24,2),Sheet2!$R$6:$S$12,2))&amp;IF(RIGHT(I24,2)-RIGHT(I24,1)=0,"",VLOOKUP(RIGHT(I24,2)-RIGHT(I24,1),Sheet2!$T$4:$U$12,2))&amp;IF(VALUE(RIGHT(I24,1))=0,"",VLOOKUP(VALUE(RIGHT(I24,1)),Sheet2!$V$4:$W$12,2))&amp;"Rupiah"</f>
        <v>Tujuh Ribu Rupiah</v>
      </c>
      <c r="K24" s="3"/>
      <c r="L24" s="3"/>
      <c r="M24" s="3"/>
      <c r="N24" s="3"/>
      <c r="O24" s="3"/>
      <c r="P24" s="3"/>
      <c r="Q24" s="3"/>
      <c r="R24" s="3"/>
      <c r="S24" s="3"/>
    </row>
    <row r="25" spans="9:19" hidden="1" x14ac:dyDescent="0.35">
      <c r="I25" s="6">
        <v>9500</v>
      </c>
      <c r="J25" s="8" t="str">
        <f>+IF(RIGHT(I25,4)-RIGHT(I25,3)=0,"",VLOOKUP(RIGHT(I25,4)-RIGHT(I25,3),Sheet2!$P$4:$Q$12,2))&amp;IF(RIGHT(I25,3)-RIGHT(I25,2)=0,"",VLOOKUP(RIGHT(I25,3)-RIGHT(I25,2),Sheet2!$R$6:$S$12,2))&amp;IF(RIGHT(I25,2)-RIGHT(I25,1)=0,"",VLOOKUP(RIGHT(I25,2)-RIGHT(I25,1),Sheet2!$T$4:$U$12,2))&amp;IF(VALUE(RIGHT(I25,1))=0,"",VLOOKUP(VALUE(RIGHT(I25,1)),Sheet2!$V$4:$W$12,2))&amp;"Rupiah"</f>
        <v>Sembilan Ribu Lima Ratus Rupiah</v>
      </c>
      <c r="K25" s="2"/>
      <c r="L25" s="2"/>
      <c r="M25" s="2"/>
      <c r="N25" s="2"/>
      <c r="O25" s="2"/>
      <c r="P25" s="2"/>
      <c r="Q25" s="2"/>
      <c r="R25" s="2"/>
      <c r="S25" s="3" t="e">
        <f>+VLOOKUP(RIGHT(kwitansi!A19,2)-RIGHT(kwitansi!A19,1),Sheet2!$T$4:$U$12,2)</f>
        <v>#N/A</v>
      </c>
    </row>
    <row r="26" spans="9:19" hidden="1" x14ac:dyDescent="0.35">
      <c r="I26" s="6">
        <v>71</v>
      </c>
      <c r="J26" s="8" t="str">
        <f>+IF(RIGHT(I26,4)-RIGHT(I26,3)=0,"",VLOOKUP(RIGHT(I26,4)-RIGHT(I26,3),Sheet2!$P$4:$Q$12,2))&amp;IF(RIGHT(I26,3)-RIGHT(I26,2)=0,"",VLOOKUP(RIGHT(I26,3)-RIGHT(I26,2),Sheet2!$R$6:$S$12,2))&amp;IF(RIGHT(I26,2)-RIGHT(I26,1)=0,"",VLOOKUP(RIGHT(I26,2)-RIGHT(I26,1),Sheet2!$T$4:$U$12,2))&amp;IF(VALUE(RIGHT(I26,1))=0,"",VLOOKUP(VALUE(RIGHT(I26,1)),Sheet2!$V$4:$W$12,2))&amp;"Rupiah"</f>
        <v>Tujuh Puluh Satu Rupiah</v>
      </c>
      <c r="K26" s="2"/>
      <c r="L26" s="2"/>
      <c r="M26" s="2"/>
      <c r="N26" s="2"/>
      <c r="O26" s="2"/>
      <c r="P26" s="2"/>
      <c r="Q26" s="2"/>
      <c r="R26" s="2"/>
      <c r="S26" s="2"/>
    </row>
    <row r="27" spans="9:19" ht="139.5" hidden="1" x14ac:dyDescent="0.35">
      <c r="I27" s="6">
        <v>4611</v>
      </c>
      <c r="J27" s="10" t="s">
        <v>46</v>
      </c>
      <c r="K27" s="3"/>
      <c r="L27" s="3"/>
      <c r="M27" s="3"/>
      <c r="N27" s="3"/>
      <c r="O27" s="3"/>
      <c r="P27" s="3"/>
      <c r="Q27" s="2"/>
      <c r="R27" s="2"/>
      <c r="S27" s="3"/>
    </row>
    <row r="28" spans="9:19" hidden="1" x14ac:dyDescent="0.35">
      <c r="I28" s="6">
        <v>7500</v>
      </c>
      <c r="J28" s="8" t="str">
        <f>+IF(RIGHT(I28,4)-RIGHT(I28,3)=0,"",VLOOKUP(RIGHT(I28,4)-RIGHT(I28,3),Sheet2!$P$4:$Q$12,2))&amp;IF(RIGHT(I28,3)-RIGHT(I28,2)=0,"",VLOOKUP(RIGHT(I28,3)-RIGHT(I28,2),Sheet2!$R$6:$S$12,2))&amp;IF(RIGHT(I28,2)-RIGHT(I28,1)=0,"",VLOOKUP(RIGHT(I28,2)-RIGHT(I28,1),Sheet2!$T$4:$U$12,2))&amp;IF(VALUE(RIGHT(I28,1))=0,"",VLOOKUP(VALUE(RIGHT(I28,1)),Sheet2!$V$4:$W$12,2))&amp;"Rupiah"</f>
        <v>Tujuh Ribu Lima Ratus Rupiah</v>
      </c>
      <c r="K28" s="2"/>
      <c r="L28" s="2"/>
      <c r="M28" s="2"/>
      <c r="N28" s="2"/>
      <c r="O28" s="2"/>
      <c r="P28" s="2"/>
      <c r="Q28" s="2"/>
      <c r="R28" s="2"/>
      <c r="S28" s="2"/>
    </row>
    <row r="29" spans="9:19" hidden="1" x14ac:dyDescent="0.35"/>
    <row r="30" spans="9:19" ht="170.5" hidden="1" x14ac:dyDescent="0.35">
      <c r="I30" s="6">
        <v>7001</v>
      </c>
      <c r="J30" s="10" t="s">
        <v>45</v>
      </c>
      <c r="K30" s="3"/>
      <c r="L30" s="3"/>
      <c r="M30" s="3"/>
      <c r="N30" s="3"/>
      <c r="O30" s="3"/>
      <c r="P30" s="3"/>
      <c r="Q30" s="3"/>
      <c r="R30" s="3"/>
      <c r="S30" s="3"/>
    </row>
    <row r="31" spans="9:19" hidden="1" x14ac:dyDescent="0.35">
      <c r="J31" s="10" t="e">
        <f>+IF(RIGHT(I31,4)-RIGHT(I31,3)=0,"",VLOOKUP(RIGHT(I31,4)-RIGHT(I31,3),Sheet2!$P$4:$Q$12,2))&amp;IF(RIGHT(I31,3)-RIGHT(I31,2)=0,"",VLOOKUP(RIGHT(I31,3)-RIGHT(I31,2),Sheet2!$R$6:$S$12,2))&amp;IF(RIGHT(I31,2)-RIGHT(I31,1)=0,"",IF(AND(RIGHT(I31,2)-RIGHT(I31,1)=10,VALUE(RIGHT(17,1))&gt;0),VLOOKUP(VALUE(RIGHT(I31,2)),Sheet2!X8:Y16,2),VLOOKUP(RIGHT(I31,2)-RIGHT(I31,1),Sheet2!$T$4:$U$12,2))&amp;IF(RIGHT(I31,2)-RIGHT(I31,1)=10,"",IF(VALUE(RIGHT(I31,1))=0,"",VLOOKUP(VALUE(RIGHT(I31,1)),Sheet2!$V$4:$W$12,2))))&amp;"Rupiah"</f>
        <v>#VALUE!</v>
      </c>
      <c r="K31" s="3"/>
      <c r="L31" s="3"/>
      <c r="M31" s="3"/>
      <c r="N31" s="3"/>
      <c r="O31" s="3"/>
      <c r="P31" s="3"/>
      <c r="Q31" s="3"/>
      <c r="R31" s="3"/>
      <c r="S31" s="3"/>
    </row>
    <row r="32" spans="9:19" hidden="1" x14ac:dyDescent="0.35">
      <c r="J32" s="10" t="e">
        <f>+IF(RIGHT(I32,4)-RIGHT(I32,3)=0,"",VLOOKUP(RIGHT(I32,4)-RIGHT(I32,3),Sheet2!$P$4:$Q$12,2))&amp;IF(RIGHT(I32,3)-RIGHT(I32,2)=0,"",VLOOKUP(RIGHT(I32,3)-RIGHT(I32,2),Sheet2!$R$6:$S$12,2))&amp;IF(RIGHT(I32,2)-RIGHT(I32,1)=0,"",IF(AND(RIGHT(I32,2)-RIGHT(I32,1)=10,VALUE(RIGHT(17,1))&gt;0),VLOOKUP(VALUE(RIGHT(I32,2)),Sheet2!X9:Y17,2),VLOOKUP(RIGHT(I32,2)-RIGHT(I32,1),Sheet2!$T$4:$U$12,2))&amp;IF(RIGHT(I32,2)-RIGHT(I32,1)=10,"",IF(VALUE(RIGHT(I32,1))=0,"",VLOOKUP(VALUE(RIGHT(I32,1)),Sheet2!$V$4:$W$12,2))))&amp;"Rupiah"</f>
        <v>#VALUE!</v>
      </c>
      <c r="K32" s="3"/>
      <c r="L32" s="3"/>
      <c r="M32" s="3"/>
      <c r="N32" s="3"/>
      <c r="O32" s="3"/>
      <c r="P32" s="3"/>
      <c r="Q32" s="3"/>
      <c r="R32" s="3"/>
      <c r="S32" s="3"/>
    </row>
    <row r="33" spans="10:19" hidden="1" x14ac:dyDescent="0.35">
      <c r="J33" s="10" t="str">
        <f>+IF(RIGHT(I24,4)-RIGHT(I24,3)=0,"",VLOOKUP(RIGHT(I24,4)-RIGHT(I24,3),Sheet2!$P$4:$Q$12,2))&amp;IF(RIGHT(I24,3)-RIGHT(I24,2)=0,"",VLOOKUP(RIGHT(I24,3)-RIGHT(I24,2),Sheet2!$R$4:$S$12,2))&amp;IF(RIGHT(I24,2)-RIGHT(I24,1)=0,"",VLOOKUP(RIGHT(I24,2)-RIGHT(I24,1),Sheet2!$T$4:$U$12,2))&amp;IF(VALUE(RIGHT(I24,1))=0,"",IF(RIGHT(I24,2)-RIGHT(I24,1)=10,"",VLOOKUP(VALUE(RIGHT(I24,1)),Sheet2!$V$4:$W$12,2)))&amp;"Rupiah"</f>
        <v>Tujuh Ribu Rupiah</v>
      </c>
      <c r="K33" s="3"/>
      <c r="L33" s="3"/>
      <c r="M33" s="3"/>
      <c r="N33" s="3"/>
      <c r="O33" s="3"/>
      <c r="P33" s="3"/>
      <c r="Q33" s="3"/>
      <c r="R33" s="3"/>
      <c r="S33" s="3"/>
    </row>
    <row r="34" spans="10:19" ht="46.5" hidden="1" x14ac:dyDescent="0.35">
      <c r="J34" s="10" t="s">
        <v>44</v>
      </c>
      <c r="K34" s="3"/>
      <c r="L34" s="3"/>
      <c r="M34" s="3"/>
      <c r="N34" s="3"/>
      <c r="O34" s="3"/>
      <c r="P34" s="3"/>
      <c r="Q34" s="3"/>
      <c r="R34" s="3"/>
      <c r="S34" s="3"/>
    </row>
  </sheetData>
  <sheetProtection sheet="1" objects="1" scenarios="1" selectLockedCells="1" selectUnlockedCells="1"/>
  <phoneticPr fontId="0" type="noConversion"/>
  <pageMargins left="0.75" right="0.75" top="1" bottom="1" header="0.5" footer="0.5"/>
  <pageSetup orientation="portrait" horizontalDpi="4294967294" verticalDpi="18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3"/>
  <sheetViews>
    <sheetView topLeftCell="B1" zoomScale="75" workbookViewId="0">
      <pane xSplit="3" ySplit="1" topLeftCell="E2" activePane="bottomRight" state="frozen"/>
      <selection activeCell="B1" sqref="B1"/>
      <selection pane="topRight" activeCell="E1" sqref="E1"/>
      <selection pane="bottomLeft" activeCell="B2" sqref="B2"/>
      <selection pane="bottomRight" activeCell="B13" sqref="B13"/>
    </sheetView>
  </sheetViews>
  <sheetFormatPr defaultRowHeight="15.5" x14ac:dyDescent="0.35"/>
  <cols>
    <col min="1" max="1" width="5.4609375" style="21" customWidth="1"/>
    <col min="2" max="2" width="24.07421875" bestFit="1" customWidth="1"/>
    <col min="3" max="3" width="40.53515625" customWidth="1"/>
    <col min="4" max="4" width="15" style="26" customWidth="1"/>
    <col min="5" max="5" width="14.69140625" customWidth="1"/>
    <col min="6" max="7" width="36.23046875" customWidth="1"/>
    <col min="8" max="9" width="16.07421875" customWidth="1"/>
    <col min="10" max="11" width="11.3046875" bestFit="1" customWidth="1"/>
    <col min="12" max="12" width="11" customWidth="1"/>
    <col min="13" max="13" width="16.07421875" customWidth="1"/>
    <col min="14" max="14" width="13.84375" bestFit="1" customWidth="1"/>
    <col min="15" max="15" width="10.23046875" bestFit="1" customWidth="1"/>
    <col min="16" max="16" width="11.3046875" bestFit="1" customWidth="1"/>
    <col min="17" max="18" width="12.4609375" bestFit="1" customWidth="1"/>
  </cols>
  <sheetData>
    <row r="1" spans="1:14" x14ac:dyDescent="0.35">
      <c r="A1" s="27" t="s">
        <v>98</v>
      </c>
      <c r="B1" s="27" t="s">
        <v>100</v>
      </c>
      <c r="C1" s="27" t="s">
        <v>99</v>
      </c>
      <c r="D1" s="28" t="s">
        <v>101</v>
      </c>
      <c r="E1" s="47" t="s">
        <v>246</v>
      </c>
      <c r="F1" s="47"/>
      <c r="G1" s="47"/>
      <c r="H1" s="47"/>
      <c r="I1" s="47"/>
      <c r="J1" s="27" t="s">
        <v>247</v>
      </c>
      <c r="K1" s="27" t="s">
        <v>248</v>
      </c>
      <c r="L1" s="27" t="s">
        <v>249</v>
      </c>
      <c r="M1" s="27" t="s">
        <v>250</v>
      </c>
      <c r="N1" s="27" t="s">
        <v>251</v>
      </c>
    </row>
    <row r="2" spans="1:14" ht="19" x14ac:dyDescent="0.45">
      <c r="B2" s="21" t="s">
        <v>256</v>
      </c>
      <c r="C2" t="s">
        <v>254</v>
      </c>
      <c r="D2" s="5">
        <v>48392900</v>
      </c>
      <c r="E2" s="84" t="s">
        <v>255</v>
      </c>
    </row>
    <row r="3" spans="1:14" ht="19" x14ac:dyDescent="0.45">
      <c r="B3" s="21" t="s">
        <v>258</v>
      </c>
      <c r="C3" t="s">
        <v>257</v>
      </c>
      <c r="D3" s="5">
        <v>3200000</v>
      </c>
      <c r="E3" s="84" t="s">
        <v>261</v>
      </c>
    </row>
    <row r="4" spans="1:14" ht="19" x14ac:dyDescent="0.45">
      <c r="B4" s="21" t="s">
        <v>260</v>
      </c>
      <c r="C4" t="s">
        <v>257</v>
      </c>
      <c r="D4" s="5">
        <v>3200000</v>
      </c>
      <c r="E4" s="84" t="s">
        <v>259</v>
      </c>
    </row>
    <row r="5" spans="1:14" ht="19" x14ac:dyDescent="0.45">
      <c r="B5" s="21" t="s">
        <v>263</v>
      </c>
      <c r="C5" t="s">
        <v>257</v>
      </c>
      <c r="D5" s="5">
        <v>3200000</v>
      </c>
      <c r="E5" s="84" t="s">
        <v>262</v>
      </c>
    </row>
    <row r="6" spans="1:14" ht="19" x14ac:dyDescent="0.45">
      <c r="B6" s="21" t="s">
        <v>265</v>
      </c>
      <c r="C6" t="s">
        <v>257</v>
      </c>
      <c r="D6" s="5">
        <v>3200000</v>
      </c>
      <c r="E6" s="84" t="s">
        <v>264</v>
      </c>
    </row>
    <row r="7" spans="1:14" ht="19" x14ac:dyDescent="0.45">
      <c r="B7" s="21" t="s">
        <v>268</v>
      </c>
      <c r="C7" t="s">
        <v>266</v>
      </c>
      <c r="D7" s="5">
        <v>36130000</v>
      </c>
      <c r="E7" s="84" t="s">
        <v>267</v>
      </c>
    </row>
    <row r="8" spans="1:14" ht="19" x14ac:dyDescent="0.45">
      <c r="B8" s="21" t="s">
        <v>270</v>
      </c>
      <c r="C8" t="s">
        <v>266</v>
      </c>
      <c r="D8" s="5">
        <v>74129800</v>
      </c>
      <c r="E8" s="84" t="s">
        <v>269</v>
      </c>
    </row>
    <row r="9" spans="1:14" ht="19" x14ac:dyDescent="0.45">
      <c r="B9" s="21" t="s">
        <v>272</v>
      </c>
      <c r="C9" t="s">
        <v>266</v>
      </c>
      <c r="D9" s="5">
        <v>40000000</v>
      </c>
      <c r="E9" s="84" t="s">
        <v>271</v>
      </c>
    </row>
    <row r="10" spans="1:14" ht="19" x14ac:dyDescent="0.45">
      <c r="B10" s="21" t="s">
        <v>274</v>
      </c>
      <c r="C10" t="s">
        <v>266</v>
      </c>
      <c r="D10" s="5">
        <v>39346000</v>
      </c>
      <c r="E10" s="84" t="s">
        <v>273</v>
      </c>
    </row>
    <row r="11" spans="1:14" ht="19" x14ac:dyDescent="0.45">
      <c r="B11" s="21" t="s">
        <v>277</v>
      </c>
      <c r="C11" t="s">
        <v>276</v>
      </c>
      <c r="D11" s="5">
        <v>48058798</v>
      </c>
      <c r="E11" s="84" t="s">
        <v>275</v>
      </c>
    </row>
    <row r="12" spans="1:14" x14ac:dyDescent="0.35">
      <c r="B12" s="21" t="s">
        <v>279</v>
      </c>
      <c r="C12" t="s">
        <v>278</v>
      </c>
      <c r="D12" s="5">
        <v>252450000</v>
      </c>
    </row>
    <row r="13" spans="1:14" x14ac:dyDescent="0.35">
      <c r="B13" s="21" t="s">
        <v>281</v>
      </c>
      <c r="C13" t="s">
        <v>280</v>
      </c>
      <c r="D13" s="5">
        <v>45000000</v>
      </c>
    </row>
    <row r="14" spans="1:14" x14ac:dyDescent="0.35">
      <c r="B14" s="21" t="s">
        <v>283</v>
      </c>
      <c r="C14" t="s">
        <v>282</v>
      </c>
      <c r="D14" s="5">
        <v>143550000</v>
      </c>
    </row>
    <row r="15" spans="1:14" x14ac:dyDescent="0.35">
      <c r="B15" s="21" t="s">
        <v>285</v>
      </c>
      <c r="C15" t="s">
        <v>284</v>
      </c>
      <c r="D15" s="5">
        <v>3000000</v>
      </c>
    </row>
    <row r="16" spans="1:14" x14ac:dyDescent="0.35">
      <c r="B16" s="21" t="s">
        <v>287</v>
      </c>
      <c r="C16" t="s">
        <v>286</v>
      </c>
      <c r="D16" s="5">
        <v>3300000</v>
      </c>
    </row>
    <row r="17" spans="2:4" x14ac:dyDescent="0.35">
      <c r="B17" s="21" t="s">
        <v>288</v>
      </c>
      <c r="C17" t="s">
        <v>266</v>
      </c>
      <c r="D17" s="5">
        <v>33000000</v>
      </c>
    </row>
    <row r="18" spans="2:4" x14ac:dyDescent="0.35">
      <c r="B18" s="21" t="s">
        <v>290</v>
      </c>
      <c r="C18" t="s">
        <v>289</v>
      </c>
      <c r="D18" s="5">
        <v>3500000</v>
      </c>
    </row>
    <row r="19" spans="2:4" x14ac:dyDescent="0.35">
      <c r="B19" s="21" t="s">
        <v>292</v>
      </c>
      <c r="C19" t="s">
        <v>291</v>
      </c>
      <c r="D19" s="5">
        <v>3500000</v>
      </c>
    </row>
    <row r="20" spans="2:4" x14ac:dyDescent="0.35">
      <c r="B20" s="21" t="s">
        <v>294</v>
      </c>
      <c r="C20" t="s">
        <v>293</v>
      </c>
      <c r="D20" s="5">
        <v>6255600</v>
      </c>
    </row>
    <row r="21" spans="2:4" x14ac:dyDescent="0.35">
      <c r="B21" s="21" t="s">
        <v>296</v>
      </c>
      <c r="C21" t="s">
        <v>295</v>
      </c>
      <c r="D21" s="5">
        <v>38500000</v>
      </c>
    </row>
    <row r="22" spans="2:4" x14ac:dyDescent="0.35">
      <c r="B22" s="21" t="s">
        <v>292</v>
      </c>
      <c r="C22" t="s">
        <v>297</v>
      </c>
      <c r="D22" s="5">
        <v>7700000</v>
      </c>
    </row>
    <row r="23" spans="2:4" x14ac:dyDescent="0.35">
      <c r="B23" s="21" t="s">
        <v>298</v>
      </c>
      <c r="C23" t="s">
        <v>266</v>
      </c>
      <c r="D23" s="5">
        <v>78000000</v>
      </c>
    </row>
    <row r="24" spans="2:4" x14ac:dyDescent="0.35">
      <c r="B24" s="21" t="s">
        <v>299</v>
      </c>
      <c r="C24" t="s">
        <v>282</v>
      </c>
      <c r="D24" s="5">
        <v>30000000</v>
      </c>
    </row>
    <row r="25" spans="2:4" x14ac:dyDescent="0.35">
      <c r="B25" s="21" t="s">
        <v>301</v>
      </c>
      <c r="C25" t="s">
        <v>300</v>
      </c>
      <c r="D25" s="5">
        <v>16500000</v>
      </c>
    </row>
    <row r="26" spans="2:4" x14ac:dyDescent="0.35">
      <c r="B26" s="21" t="s">
        <v>302</v>
      </c>
      <c r="C26" t="s">
        <v>266</v>
      </c>
      <c r="D26" s="5">
        <v>9500000</v>
      </c>
    </row>
    <row r="27" spans="2:4" x14ac:dyDescent="0.35">
      <c r="B27" s="21" t="s">
        <v>304</v>
      </c>
      <c r="C27" t="s">
        <v>303</v>
      </c>
      <c r="D27" s="5">
        <v>25000000</v>
      </c>
    </row>
    <row r="28" spans="2:4" x14ac:dyDescent="0.35">
      <c r="B28" s="21" t="s">
        <v>306</v>
      </c>
      <c r="C28" t="s">
        <v>305</v>
      </c>
      <c r="D28" s="5">
        <v>4200000</v>
      </c>
    </row>
    <row r="29" spans="2:4" x14ac:dyDescent="0.35">
      <c r="B29" s="21" t="s">
        <v>307</v>
      </c>
      <c r="C29" t="s">
        <v>305</v>
      </c>
      <c r="D29" s="5">
        <v>7200000</v>
      </c>
    </row>
    <row r="30" spans="2:4" x14ac:dyDescent="0.35">
      <c r="B30" s="21" t="s">
        <v>309</v>
      </c>
      <c r="C30" t="s">
        <v>308</v>
      </c>
      <c r="D30" s="5">
        <v>48000000</v>
      </c>
    </row>
    <row r="31" spans="2:4" x14ac:dyDescent="0.35">
      <c r="B31" s="21" t="s">
        <v>327</v>
      </c>
      <c r="C31" t="s">
        <v>326</v>
      </c>
      <c r="D31" s="5">
        <v>20000000</v>
      </c>
    </row>
    <row r="32" spans="2:4" x14ac:dyDescent="0.35">
      <c r="B32" s="21" t="s">
        <v>330</v>
      </c>
      <c r="C32" t="s">
        <v>266</v>
      </c>
      <c r="D32" s="5">
        <v>581171800</v>
      </c>
    </row>
    <row r="33" spans="2:4" x14ac:dyDescent="0.35">
      <c r="B33" s="48" t="str">
        <f>+kwitansi!$J$1</f>
        <v>224/TKMPN/WKM/X/2026</v>
      </c>
      <c r="C33" s="29" t="str">
        <f>+kwitansi!$B$3</f>
        <v>PT WASKITA KARYA (PERSERO) Tbk</v>
      </c>
      <c r="D33" s="30">
        <f>+kwitansi!$A$19</f>
        <v>57442500</v>
      </c>
    </row>
    <row r="34" spans="2:4" x14ac:dyDescent="0.35">
      <c r="B34" s="48" t="str">
        <f>+kwitansi!$J$1</f>
        <v>224/TKMPN/WKM/X/2026</v>
      </c>
      <c r="C34" s="29" t="str">
        <f>+kwitansi!$B$3</f>
        <v>PT WASKITA KARYA (PERSERO) Tbk</v>
      </c>
      <c r="D34" s="30">
        <f>+kwitansi!$A$19</f>
        <v>57442500</v>
      </c>
    </row>
    <row r="35" spans="2:4" x14ac:dyDescent="0.35">
      <c r="B35" s="48" t="str">
        <f>+kwitansi!$J$1</f>
        <v>224/TKMPN/WKM/X/2026</v>
      </c>
      <c r="C35" s="29" t="str">
        <f>+kwitansi!$B$3</f>
        <v>PT WASKITA KARYA (PERSERO) Tbk</v>
      </c>
      <c r="D35" s="30">
        <f>+kwitansi!$A$19</f>
        <v>57442500</v>
      </c>
    </row>
    <row r="36" spans="2:4" x14ac:dyDescent="0.35">
      <c r="B36" s="48" t="str">
        <f>+kwitansi!$J$1</f>
        <v>224/TKMPN/WKM/X/2026</v>
      </c>
      <c r="C36" s="29" t="str">
        <f>+kwitansi!$B$3</f>
        <v>PT WASKITA KARYA (PERSERO) Tbk</v>
      </c>
      <c r="D36" s="30">
        <f>+kwitansi!$A$19</f>
        <v>57442500</v>
      </c>
    </row>
    <row r="37" spans="2:4" x14ac:dyDescent="0.35">
      <c r="B37" s="48" t="str">
        <f>+kwitansi!$J$1</f>
        <v>224/TKMPN/WKM/X/2026</v>
      </c>
      <c r="C37" s="29" t="str">
        <f>+kwitansi!$B$3</f>
        <v>PT WASKITA KARYA (PERSERO) Tbk</v>
      </c>
      <c r="D37" s="30">
        <f>+kwitansi!$A$19</f>
        <v>57442500</v>
      </c>
    </row>
    <row r="38" spans="2:4" x14ac:dyDescent="0.35">
      <c r="B38" s="48" t="str">
        <f>+kwitansi!$J$1</f>
        <v>224/TKMPN/WKM/X/2026</v>
      </c>
      <c r="C38" s="29" t="str">
        <f>+kwitansi!$B$3</f>
        <v>PT WASKITA KARYA (PERSERO) Tbk</v>
      </c>
      <c r="D38" s="30">
        <f>+kwitansi!$A$19</f>
        <v>57442500</v>
      </c>
    </row>
    <row r="39" spans="2:4" x14ac:dyDescent="0.35">
      <c r="B39" s="48" t="str">
        <f>+kwitansi!$J$1</f>
        <v>224/TKMPN/WKM/X/2026</v>
      </c>
      <c r="C39" s="29" t="str">
        <f>+kwitansi!$B$3</f>
        <v>PT WASKITA KARYA (PERSERO) Tbk</v>
      </c>
      <c r="D39" s="30">
        <f>+kwitansi!$A$19</f>
        <v>57442500</v>
      </c>
    </row>
    <row r="40" spans="2:4" x14ac:dyDescent="0.35">
      <c r="B40" s="48" t="str">
        <f>+kwitansi!$J$1</f>
        <v>224/TKMPN/WKM/X/2026</v>
      </c>
      <c r="C40" s="29" t="str">
        <f>+kwitansi!$B$3</f>
        <v>PT WASKITA KARYA (PERSERO) Tbk</v>
      </c>
      <c r="D40" s="30">
        <f>+kwitansi!$A$19</f>
        <v>57442500</v>
      </c>
    </row>
    <row r="41" spans="2:4" x14ac:dyDescent="0.35">
      <c r="B41" s="48" t="str">
        <f>+kwitansi!$J$1</f>
        <v>224/TKMPN/WKM/X/2026</v>
      </c>
      <c r="C41" s="29" t="str">
        <f>+kwitansi!$B$3</f>
        <v>PT WASKITA KARYA (PERSERO) Tbk</v>
      </c>
      <c r="D41" s="30">
        <f>+kwitansi!$A$19</f>
        <v>57442500</v>
      </c>
    </row>
    <row r="42" spans="2:4" x14ac:dyDescent="0.35">
      <c r="B42" s="48" t="str">
        <f>+kwitansi!$J$1</f>
        <v>224/TKMPN/WKM/X/2026</v>
      </c>
      <c r="C42" s="29" t="str">
        <f>+kwitansi!$B$3</f>
        <v>PT WASKITA KARYA (PERSERO) Tbk</v>
      </c>
      <c r="D42" s="30">
        <f>+kwitansi!$A$19</f>
        <v>57442500</v>
      </c>
    </row>
    <row r="43" spans="2:4" x14ac:dyDescent="0.35">
      <c r="B43" s="48" t="str">
        <f>+kwitansi!$J$1</f>
        <v>224/TKMPN/WKM/X/2026</v>
      </c>
      <c r="C43" s="29" t="str">
        <f>+kwitansi!$B$3</f>
        <v>PT WASKITA KARYA (PERSERO) Tbk</v>
      </c>
      <c r="D43" s="30">
        <f>+kwitansi!$A$19</f>
        <v>57442500</v>
      </c>
    </row>
    <row r="44" spans="2:4" x14ac:dyDescent="0.35">
      <c r="B44" s="48" t="str">
        <f>+kwitansi!$J$1</f>
        <v>224/TKMPN/WKM/X/2026</v>
      </c>
      <c r="C44" s="29" t="str">
        <f>+kwitansi!$B$3</f>
        <v>PT WASKITA KARYA (PERSERO) Tbk</v>
      </c>
      <c r="D44" s="30">
        <f>+kwitansi!$A$19</f>
        <v>57442500</v>
      </c>
    </row>
    <row r="45" spans="2:4" x14ac:dyDescent="0.35">
      <c r="B45" s="48" t="str">
        <f>+kwitansi!$J$1</f>
        <v>224/TKMPN/WKM/X/2026</v>
      </c>
      <c r="C45" s="29" t="str">
        <f>+kwitansi!$B$3</f>
        <v>PT WASKITA KARYA (PERSERO) Tbk</v>
      </c>
      <c r="D45" s="30">
        <f>+kwitansi!$A$19</f>
        <v>57442500</v>
      </c>
    </row>
    <row r="46" spans="2:4" x14ac:dyDescent="0.35">
      <c r="B46" s="48" t="str">
        <f>+kwitansi!$J$1</f>
        <v>224/TKMPN/WKM/X/2026</v>
      </c>
      <c r="C46" s="29" t="str">
        <f>+kwitansi!$B$3</f>
        <v>PT WASKITA KARYA (PERSERO) Tbk</v>
      </c>
      <c r="D46" s="30">
        <f>+kwitansi!$A$19</f>
        <v>57442500</v>
      </c>
    </row>
    <row r="47" spans="2:4" x14ac:dyDescent="0.35">
      <c r="B47" s="48" t="str">
        <f>+kwitansi!$J$1</f>
        <v>224/TKMPN/WKM/X/2026</v>
      </c>
      <c r="C47" s="29" t="str">
        <f>+kwitansi!$B$3</f>
        <v>PT WASKITA KARYA (PERSERO) Tbk</v>
      </c>
      <c r="D47" s="30">
        <f>+kwitansi!$A$19</f>
        <v>57442500</v>
      </c>
    </row>
    <row r="48" spans="2:4" x14ac:dyDescent="0.35">
      <c r="B48" s="48" t="str">
        <f>+kwitansi!$J$1</f>
        <v>224/TKMPN/WKM/X/2026</v>
      </c>
      <c r="C48" s="29" t="str">
        <f>+kwitansi!$B$3</f>
        <v>PT WASKITA KARYA (PERSERO) Tbk</v>
      </c>
      <c r="D48" s="30">
        <f>+kwitansi!$A$19</f>
        <v>57442500</v>
      </c>
    </row>
    <row r="49" spans="2:4" x14ac:dyDescent="0.35">
      <c r="B49" s="48" t="str">
        <f>+kwitansi!$J$1</f>
        <v>224/TKMPN/WKM/X/2026</v>
      </c>
      <c r="C49" s="29" t="str">
        <f>+kwitansi!$B$3</f>
        <v>PT WASKITA KARYA (PERSERO) Tbk</v>
      </c>
      <c r="D49" s="30">
        <f>+kwitansi!$A$19</f>
        <v>57442500</v>
      </c>
    </row>
    <row r="50" spans="2:4" x14ac:dyDescent="0.35">
      <c r="B50" s="48" t="str">
        <f>+kwitansi!$J$1</f>
        <v>224/TKMPN/WKM/X/2026</v>
      </c>
      <c r="C50" s="29" t="str">
        <f>+kwitansi!$B$3</f>
        <v>PT WASKITA KARYA (PERSERO) Tbk</v>
      </c>
      <c r="D50" s="30">
        <f>+kwitansi!$A$19</f>
        <v>57442500</v>
      </c>
    </row>
    <row r="51" spans="2:4" x14ac:dyDescent="0.35">
      <c r="B51" s="48" t="str">
        <f>+kwitansi!$J$1</f>
        <v>224/TKMPN/WKM/X/2026</v>
      </c>
      <c r="C51" s="29" t="str">
        <f>+kwitansi!$B$3</f>
        <v>PT WASKITA KARYA (PERSERO) Tbk</v>
      </c>
      <c r="D51" s="30">
        <f>+kwitansi!$A$19</f>
        <v>57442500</v>
      </c>
    </row>
    <row r="52" spans="2:4" x14ac:dyDescent="0.35">
      <c r="B52" s="48" t="str">
        <f>+kwitansi!$J$1</f>
        <v>224/TKMPN/WKM/X/2026</v>
      </c>
      <c r="C52" s="29" t="str">
        <f>+kwitansi!$B$3</f>
        <v>PT WASKITA KARYA (PERSERO) Tbk</v>
      </c>
      <c r="D52" s="30">
        <f>+kwitansi!$A$19</f>
        <v>57442500</v>
      </c>
    </row>
    <row r="53" spans="2:4" x14ac:dyDescent="0.35">
      <c r="B53" s="48" t="str">
        <f>+kwitansi!$J$1</f>
        <v>224/TKMPN/WKM/X/2026</v>
      </c>
      <c r="C53" s="29" t="str">
        <f>+kwitansi!$B$3</f>
        <v>PT WASKITA KARYA (PERSERO) Tbk</v>
      </c>
      <c r="D53" s="30">
        <f>+kwitansi!$A$19</f>
        <v>57442500</v>
      </c>
    </row>
    <row r="54" spans="2:4" x14ac:dyDescent="0.35">
      <c r="B54" s="48" t="str">
        <f>+kwitansi!$J$1</f>
        <v>224/TKMPN/WKM/X/2026</v>
      </c>
      <c r="C54" s="29" t="str">
        <f>+kwitansi!$B$3</f>
        <v>PT WASKITA KARYA (PERSERO) Tbk</v>
      </c>
      <c r="D54" s="30">
        <f>+kwitansi!$A$19</f>
        <v>57442500</v>
      </c>
    </row>
    <row r="55" spans="2:4" x14ac:dyDescent="0.35">
      <c r="B55" s="48" t="str">
        <f>+kwitansi!$J$1</f>
        <v>224/TKMPN/WKM/X/2026</v>
      </c>
      <c r="C55" s="29" t="str">
        <f>+kwitansi!$B$3</f>
        <v>PT WASKITA KARYA (PERSERO) Tbk</v>
      </c>
      <c r="D55" s="30">
        <f>+kwitansi!$A$19</f>
        <v>57442500</v>
      </c>
    </row>
    <row r="56" spans="2:4" x14ac:dyDescent="0.35">
      <c r="B56" s="48" t="str">
        <f>+kwitansi!$J$1</f>
        <v>224/TKMPN/WKM/X/2026</v>
      </c>
      <c r="C56" s="29" t="str">
        <f>+kwitansi!$B$3</f>
        <v>PT WASKITA KARYA (PERSERO) Tbk</v>
      </c>
      <c r="D56" s="30">
        <f>+kwitansi!$A$19</f>
        <v>57442500</v>
      </c>
    </row>
    <row r="57" spans="2:4" x14ac:dyDescent="0.35">
      <c r="B57" s="48" t="str">
        <f>+kwitansi!$J$1</f>
        <v>224/TKMPN/WKM/X/2026</v>
      </c>
      <c r="C57" s="29" t="str">
        <f>+kwitansi!$B$3</f>
        <v>PT WASKITA KARYA (PERSERO) Tbk</v>
      </c>
      <c r="D57" s="30">
        <f>+kwitansi!$A$19</f>
        <v>57442500</v>
      </c>
    </row>
    <row r="58" spans="2:4" x14ac:dyDescent="0.35">
      <c r="B58" s="48" t="str">
        <f>+kwitansi!$J$1</f>
        <v>224/TKMPN/WKM/X/2026</v>
      </c>
      <c r="C58" s="29" t="str">
        <f>+kwitansi!$B$3</f>
        <v>PT WASKITA KARYA (PERSERO) Tbk</v>
      </c>
      <c r="D58" s="30">
        <f>+kwitansi!$A$19</f>
        <v>57442500</v>
      </c>
    </row>
    <row r="59" spans="2:4" x14ac:dyDescent="0.35">
      <c r="B59" s="48" t="str">
        <f>+kwitansi!$J$1</f>
        <v>224/TKMPN/WKM/X/2026</v>
      </c>
      <c r="C59" s="29" t="str">
        <f>+kwitansi!$B$3</f>
        <v>PT WASKITA KARYA (PERSERO) Tbk</v>
      </c>
      <c r="D59" s="30">
        <f>+kwitansi!$A$19</f>
        <v>57442500</v>
      </c>
    </row>
    <row r="60" spans="2:4" x14ac:dyDescent="0.35">
      <c r="B60" s="48" t="str">
        <f>+kwitansi!$J$1</f>
        <v>224/TKMPN/WKM/X/2026</v>
      </c>
      <c r="C60" s="29" t="str">
        <f>+kwitansi!$B$3</f>
        <v>PT WASKITA KARYA (PERSERO) Tbk</v>
      </c>
      <c r="D60" s="30">
        <f>+kwitansi!$A$19</f>
        <v>57442500</v>
      </c>
    </row>
    <row r="61" spans="2:4" x14ac:dyDescent="0.35">
      <c r="B61" s="48" t="str">
        <f>+kwitansi!$J$1</f>
        <v>224/TKMPN/WKM/X/2026</v>
      </c>
      <c r="C61" s="29" t="str">
        <f>+kwitansi!$B$3</f>
        <v>PT WASKITA KARYA (PERSERO) Tbk</v>
      </c>
      <c r="D61" s="30">
        <f>+kwitansi!$A$19</f>
        <v>57442500</v>
      </c>
    </row>
    <row r="62" spans="2:4" x14ac:dyDescent="0.35">
      <c r="B62" s="48" t="str">
        <f>+kwitansi!$J$1</f>
        <v>224/TKMPN/WKM/X/2026</v>
      </c>
      <c r="C62" s="29" t="str">
        <f>+kwitansi!$B$3</f>
        <v>PT WASKITA KARYA (PERSERO) Tbk</v>
      </c>
      <c r="D62" s="30">
        <f>+kwitansi!$A$19</f>
        <v>57442500</v>
      </c>
    </row>
    <row r="63" spans="2:4" x14ac:dyDescent="0.35">
      <c r="B63" s="48" t="str">
        <f>+kwitansi!$J$1</f>
        <v>224/TKMPN/WKM/X/2026</v>
      </c>
      <c r="C63" s="29" t="str">
        <f>+kwitansi!$B$3</f>
        <v>PT WASKITA KARYA (PERSERO) Tbk</v>
      </c>
      <c r="D63" s="30">
        <f>+kwitansi!$A$19</f>
        <v>57442500</v>
      </c>
    </row>
    <row r="64" spans="2:4" x14ac:dyDescent="0.35">
      <c r="B64" s="48" t="str">
        <f>+kwitansi!$J$1</f>
        <v>224/TKMPN/WKM/X/2026</v>
      </c>
      <c r="C64" s="29" t="str">
        <f>+kwitansi!$B$3</f>
        <v>PT WASKITA KARYA (PERSERO) Tbk</v>
      </c>
      <c r="D64" s="30">
        <f>+kwitansi!$A$19</f>
        <v>57442500</v>
      </c>
    </row>
    <row r="65" spans="2:4" x14ac:dyDescent="0.35">
      <c r="B65" s="48" t="str">
        <f>+kwitansi!$J$1</f>
        <v>224/TKMPN/WKM/X/2026</v>
      </c>
      <c r="C65" s="29" t="str">
        <f>+kwitansi!$B$3</f>
        <v>PT WASKITA KARYA (PERSERO) Tbk</v>
      </c>
      <c r="D65" s="30">
        <f>+kwitansi!$A$19</f>
        <v>57442500</v>
      </c>
    </row>
    <row r="66" spans="2:4" x14ac:dyDescent="0.35">
      <c r="B66" s="48" t="str">
        <f>+kwitansi!$J$1</f>
        <v>224/TKMPN/WKM/X/2026</v>
      </c>
      <c r="C66" s="29" t="str">
        <f>+kwitansi!$B$3</f>
        <v>PT WASKITA KARYA (PERSERO) Tbk</v>
      </c>
      <c r="D66" s="30">
        <f>+kwitansi!$A$19</f>
        <v>57442500</v>
      </c>
    </row>
    <row r="67" spans="2:4" x14ac:dyDescent="0.35">
      <c r="B67" s="48" t="str">
        <f>+kwitansi!$J$1</f>
        <v>224/TKMPN/WKM/X/2026</v>
      </c>
      <c r="C67" s="29" t="str">
        <f>+kwitansi!$B$3</f>
        <v>PT WASKITA KARYA (PERSERO) Tbk</v>
      </c>
      <c r="D67" s="30">
        <f>+kwitansi!$A$19</f>
        <v>57442500</v>
      </c>
    </row>
    <row r="68" spans="2:4" x14ac:dyDescent="0.35">
      <c r="B68" s="48" t="str">
        <f>+kwitansi!$J$1</f>
        <v>224/TKMPN/WKM/X/2026</v>
      </c>
      <c r="C68" s="29" t="str">
        <f>+kwitansi!$B$3</f>
        <v>PT WASKITA KARYA (PERSERO) Tbk</v>
      </c>
      <c r="D68" s="30">
        <f>+kwitansi!$A$19</f>
        <v>57442500</v>
      </c>
    </row>
    <row r="69" spans="2:4" x14ac:dyDescent="0.35">
      <c r="B69" s="48" t="str">
        <f>+kwitansi!$J$1</f>
        <v>224/TKMPN/WKM/X/2026</v>
      </c>
      <c r="C69" s="29" t="str">
        <f>+kwitansi!$B$3</f>
        <v>PT WASKITA KARYA (PERSERO) Tbk</v>
      </c>
      <c r="D69" s="30">
        <f>+kwitansi!$A$19</f>
        <v>57442500</v>
      </c>
    </row>
    <row r="70" spans="2:4" x14ac:dyDescent="0.35">
      <c r="B70" s="48" t="str">
        <f>+kwitansi!$J$1</f>
        <v>224/TKMPN/WKM/X/2026</v>
      </c>
      <c r="C70" s="29" t="str">
        <f>+kwitansi!$B$3</f>
        <v>PT WASKITA KARYA (PERSERO) Tbk</v>
      </c>
      <c r="D70" s="30">
        <f>+kwitansi!$A$19</f>
        <v>57442500</v>
      </c>
    </row>
    <row r="71" spans="2:4" x14ac:dyDescent="0.35">
      <c r="B71" s="48" t="str">
        <f>+kwitansi!$J$1</f>
        <v>224/TKMPN/WKM/X/2026</v>
      </c>
      <c r="C71" s="29" t="str">
        <f>+kwitansi!$B$3</f>
        <v>PT WASKITA KARYA (PERSERO) Tbk</v>
      </c>
      <c r="D71" s="30">
        <f>+kwitansi!$A$19</f>
        <v>57442500</v>
      </c>
    </row>
    <row r="72" spans="2:4" x14ac:dyDescent="0.35">
      <c r="B72" s="48" t="str">
        <f>+kwitansi!$J$1</f>
        <v>224/TKMPN/WKM/X/2026</v>
      </c>
      <c r="C72" s="29" t="str">
        <f>+kwitansi!$B$3</f>
        <v>PT WASKITA KARYA (PERSERO) Tbk</v>
      </c>
      <c r="D72" s="30">
        <f>+kwitansi!$A$19</f>
        <v>57442500</v>
      </c>
    </row>
    <row r="73" spans="2:4" x14ac:dyDescent="0.35">
      <c r="B73" s="48" t="str">
        <f>+kwitansi!$J$1</f>
        <v>224/TKMPN/WKM/X/2026</v>
      </c>
      <c r="C73" s="29" t="str">
        <f>+kwitansi!$B$3</f>
        <v>PT WASKITA KARYA (PERSERO) Tbk</v>
      </c>
      <c r="D73" s="30">
        <f>+kwitansi!$A$19</f>
        <v>57442500</v>
      </c>
    </row>
    <row r="74" spans="2:4" x14ac:dyDescent="0.35">
      <c r="B74" s="48" t="str">
        <f>+kwitansi!$J$1</f>
        <v>224/TKMPN/WKM/X/2026</v>
      </c>
      <c r="C74" s="29" t="str">
        <f>+kwitansi!$B$3</f>
        <v>PT WASKITA KARYA (PERSERO) Tbk</v>
      </c>
      <c r="D74" s="30">
        <f>+kwitansi!$A$19</f>
        <v>57442500</v>
      </c>
    </row>
    <row r="75" spans="2:4" x14ac:dyDescent="0.35">
      <c r="B75" s="48" t="str">
        <f>+kwitansi!$J$1</f>
        <v>224/TKMPN/WKM/X/2026</v>
      </c>
      <c r="C75" s="29" t="str">
        <f>+kwitansi!$B$3</f>
        <v>PT WASKITA KARYA (PERSERO) Tbk</v>
      </c>
      <c r="D75" s="30">
        <f>+kwitansi!$A$19</f>
        <v>57442500</v>
      </c>
    </row>
    <row r="76" spans="2:4" x14ac:dyDescent="0.35">
      <c r="B76" s="48" t="str">
        <f>+kwitansi!$J$1</f>
        <v>224/TKMPN/WKM/X/2026</v>
      </c>
      <c r="C76" s="29" t="str">
        <f>+kwitansi!$B$3</f>
        <v>PT WASKITA KARYA (PERSERO) Tbk</v>
      </c>
      <c r="D76" s="30">
        <f>+kwitansi!$A$19</f>
        <v>57442500</v>
      </c>
    </row>
    <row r="77" spans="2:4" x14ac:dyDescent="0.35">
      <c r="B77" s="48" t="str">
        <f>+kwitansi!$J$1</f>
        <v>224/TKMPN/WKM/X/2026</v>
      </c>
      <c r="C77" s="29" t="str">
        <f>+kwitansi!$B$3</f>
        <v>PT WASKITA KARYA (PERSERO) Tbk</v>
      </c>
      <c r="D77" s="30">
        <f>+kwitansi!$A$19</f>
        <v>57442500</v>
      </c>
    </row>
    <row r="78" spans="2:4" x14ac:dyDescent="0.35">
      <c r="B78" s="48" t="str">
        <f>+kwitansi!$J$1</f>
        <v>224/TKMPN/WKM/X/2026</v>
      </c>
      <c r="C78" s="29" t="str">
        <f>+kwitansi!$B$3</f>
        <v>PT WASKITA KARYA (PERSERO) Tbk</v>
      </c>
      <c r="D78" s="30">
        <f>+kwitansi!$A$19</f>
        <v>57442500</v>
      </c>
    </row>
    <row r="79" spans="2:4" x14ac:dyDescent="0.35">
      <c r="B79" s="48" t="str">
        <f>+kwitansi!$J$1</f>
        <v>224/TKMPN/WKM/X/2026</v>
      </c>
      <c r="C79" s="29" t="str">
        <f>+kwitansi!$B$3</f>
        <v>PT WASKITA KARYA (PERSERO) Tbk</v>
      </c>
      <c r="D79" s="30">
        <f>+kwitansi!$A$19</f>
        <v>57442500</v>
      </c>
    </row>
    <row r="80" spans="2:4" x14ac:dyDescent="0.35">
      <c r="B80" s="48" t="str">
        <f>+kwitansi!$J$1</f>
        <v>224/TKMPN/WKM/X/2026</v>
      </c>
      <c r="C80" s="29" t="str">
        <f>+kwitansi!$B$3</f>
        <v>PT WASKITA KARYA (PERSERO) Tbk</v>
      </c>
      <c r="D80" s="30">
        <f>+kwitansi!$A$19</f>
        <v>57442500</v>
      </c>
    </row>
    <row r="81" spans="2:4" x14ac:dyDescent="0.35">
      <c r="B81" s="48" t="str">
        <f>+kwitansi!$J$1</f>
        <v>224/TKMPN/WKM/X/2026</v>
      </c>
      <c r="C81" s="29" t="str">
        <f>+kwitansi!$B$3</f>
        <v>PT WASKITA KARYA (PERSERO) Tbk</v>
      </c>
      <c r="D81" s="30">
        <f>+kwitansi!$A$19</f>
        <v>57442500</v>
      </c>
    </row>
    <row r="82" spans="2:4" x14ac:dyDescent="0.35">
      <c r="B82" s="48" t="str">
        <f>+kwitansi!$J$1</f>
        <v>224/TKMPN/WKM/X/2026</v>
      </c>
      <c r="C82" s="29" t="str">
        <f>+kwitansi!$B$3</f>
        <v>PT WASKITA KARYA (PERSERO) Tbk</v>
      </c>
      <c r="D82" s="30">
        <f>+kwitansi!$A$19</f>
        <v>57442500</v>
      </c>
    </row>
    <row r="83" spans="2:4" x14ac:dyDescent="0.35">
      <c r="B83" s="48" t="str">
        <f>+kwitansi!$J$1</f>
        <v>224/TKMPN/WKM/X/2026</v>
      </c>
      <c r="C83" s="29" t="str">
        <f>+kwitansi!$B$3</f>
        <v>PT WASKITA KARYA (PERSERO) Tbk</v>
      </c>
      <c r="D83" s="30">
        <f>+kwitansi!$A$19</f>
        <v>57442500</v>
      </c>
    </row>
    <row r="84" spans="2:4" x14ac:dyDescent="0.35">
      <c r="B84" s="48" t="str">
        <f>+kwitansi!$J$1</f>
        <v>224/TKMPN/WKM/X/2026</v>
      </c>
      <c r="C84" s="29" t="str">
        <f>+kwitansi!$B$3</f>
        <v>PT WASKITA KARYA (PERSERO) Tbk</v>
      </c>
      <c r="D84" s="30">
        <f>+kwitansi!$A$19</f>
        <v>57442500</v>
      </c>
    </row>
    <row r="85" spans="2:4" x14ac:dyDescent="0.35">
      <c r="B85" s="48" t="str">
        <f>+kwitansi!$J$1</f>
        <v>224/TKMPN/WKM/X/2026</v>
      </c>
      <c r="C85" s="29" t="str">
        <f>+kwitansi!$B$3</f>
        <v>PT WASKITA KARYA (PERSERO) Tbk</v>
      </c>
      <c r="D85" s="30">
        <f>+kwitansi!$A$19</f>
        <v>57442500</v>
      </c>
    </row>
    <row r="86" spans="2:4" x14ac:dyDescent="0.35">
      <c r="B86" s="48" t="str">
        <f>+kwitansi!$J$1</f>
        <v>224/TKMPN/WKM/X/2026</v>
      </c>
      <c r="C86" s="29" t="str">
        <f>+kwitansi!$B$3</f>
        <v>PT WASKITA KARYA (PERSERO) Tbk</v>
      </c>
      <c r="D86" s="30">
        <f>+kwitansi!$A$19</f>
        <v>57442500</v>
      </c>
    </row>
    <row r="87" spans="2:4" x14ac:dyDescent="0.35">
      <c r="B87" s="48" t="str">
        <f>+kwitansi!$J$1</f>
        <v>224/TKMPN/WKM/X/2026</v>
      </c>
      <c r="C87" s="29" t="str">
        <f>+kwitansi!$B$3</f>
        <v>PT WASKITA KARYA (PERSERO) Tbk</v>
      </c>
      <c r="D87" s="30">
        <f>+kwitansi!$A$19</f>
        <v>57442500</v>
      </c>
    </row>
    <row r="88" spans="2:4" x14ac:dyDescent="0.35">
      <c r="B88" s="48" t="str">
        <f>+kwitansi!$J$1</f>
        <v>224/TKMPN/WKM/X/2026</v>
      </c>
      <c r="C88" s="29" t="str">
        <f>+kwitansi!$B$3</f>
        <v>PT WASKITA KARYA (PERSERO) Tbk</v>
      </c>
      <c r="D88" s="30">
        <f>+kwitansi!$A$19</f>
        <v>57442500</v>
      </c>
    </row>
    <row r="89" spans="2:4" x14ac:dyDescent="0.35">
      <c r="B89" s="48" t="str">
        <f>+kwitansi!$J$1</f>
        <v>224/TKMPN/WKM/X/2026</v>
      </c>
      <c r="C89" s="29" t="str">
        <f>+kwitansi!$B$3</f>
        <v>PT WASKITA KARYA (PERSERO) Tbk</v>
      </c>
      <c r="D89" s="30">
        <f>+kwitansi!$A$19</f>
        <v>57442500</v>
      </c>
    </row>
    <row r="90" spans="2:4" x14ac:dyDescent="0.35">
      <c r="B90" s="48" t="str">
        <f>+kwitansi!$J$1</f>
        <v>224/TKMPN/WKM/X/2026</v>
      </c>
      <c r="C90" s="29" t="str">
        <f>+kwitansi!$B$3</f>
        <v>PT WASKITA KARYA (PERSERO) Tbk</v>
      </c>
      <c r="D90" s="30">
        <f>+kwitansi!$A$19</f>
        <v>57442500</v>
      </c>
    </row>
    <row r="91" spans="2:4" x14ac:dyDescent="0.35">
      <c r="B91" s="48" t="str">
        <f>+kwitansi!$J$1</f>
        <v>224/TKMPN/WKM/X/2026</v>
      </c>
      <c r="C91" s="29" t="str">
        <f>+kwitansi!$B$3</f>
        <v>PT WASKITA KARYA (PERSERO) Tbk</v>
      </c>
      <c r="D91" s="30">
        <f>+kwitansi!$A$19</f>
        <v>57442500</v>
      </c>
    </row>
    <row r="92" spans="2:4" x14ac:dyDescent="0.35">
      <c r="B92" s="48" t="str">
        <f>+kwitansi!$J$1</f>
        <v>224/TKMPN/WKM/X/2026</v>
      </c>
      <c r="C92" s="29" t="str">
        <f>+kwitansi!$B$3</f>
        <v>PT WASKITA KARYA (PERSERO) Tbk</v>
      </c>
      <c r="D92" s="30">
        <f>+kwitansi!$A$19</f>
        <v>57442500</v>
      </c>
    </row>
    <row r="93" spans="2:4" x14ac:dyDescent="0.35">
      <c r="B93" s="48" t="str">
        <f>+kwitansi!$J$1</f>
        <v>224/TKMPN/WKM/X/2026</v>
      </c>
      <c r="C93" s="29" t="str">
        <f>+kwitansi!$B$3</f>
        <v>PT WASKITA KARYA (PERSERO) Tbk</v>
      </c>
      <c r="D93" s="30">
        <f>+kwitansi!$A$19</f>
        <v>57442500</v>
      </c>
    </row>
    <row r="94" spans="2:4" x14ac:dyDescent="0.35">
      <c r="B94" s="48" t="str">
        <f>+kwitansi!$J$1</f>
        <v>224/TKMPN/WKM/X/2026</v>
      </c>
      <c r="C94" s="29" t="str">
        <f>+kwitansi!$B$3</f>
        <v>PT WASKITA KARYA (PERSERO) Tbk</v>
      </c>
      <c r="D94" s="30">
        <f>+kwitansi!$A$19</f>
        <v>57442500</v>
      </c>
    </row>
    <row r="95" spans="2:4" x14ac:dyDescent="0.35">
      <c r="B95" s="48" t="str">
        <f>+kwitansi!$J$1</f>
        <v>224/TKMPN/WKM/X/2026</v>
      </c>
      <c r="C95" s="29" t="str">
        <f>+kwitansi!$B$3</f>
        <v>PT WASKITA KARYA (PERSERO) Tbk</v>
      </c>
      <c r="D95" s="30">
        <f>+kwitansi!$A$19</f>
        <v>57442500</v>
      </c>
    </row>
    <row r="96" spans="2:4" x14ac:dyDescent="0.35">
      <c r="B96" s="48" t="str">
        <f>+kwitansi!$J$1</f>
        <v>224/TKMPN/WKM/X/2026</v>
      </c>
      <c r="C96" s="29" t="str">
        <f>+kwitansi!$B$3</f>
        <v>PT WASKITA KARYA (PERSERO) Tbk</v>
      </c>
      <c r="D96" s="30">
        <f>+kwitansi!$A$19</f>
        <v>57442500</v>
      </c>
    </row>
    <row r="97" spans="2:4" x14ac:dyDescent="0.35">
      <c r="B97" s="48" t="str">
        <f>+kwitansi!$J$1</f>
        <v>224/TKMPN/WKM/X/2026</v>
      </c>
      <c r="C97" s="29" t="str">
        <f>+kwitansi!$B$3</f>
        <v>PT WASKITA KARYA (PERSERO) Tbk</v>
      </c>
      <c r="D97" s="30">
        <f>+kwitansi!$A$19</f>
        <v>57442500</v>
      </c>
    </row>
    <row r="98" spans="2:4" x14ac:dyDescent="0.35">
      <c r="B98" s="48" t="str">
        <f>+kwitansi!$J$1</f>
        <v>224/TKMPN/WKM/X/2026</v>
      </c>
      <c r="C98" s="29" t="str">
        <f>+kwitansi!$B$3</f>
        <v>PT WASKITA KARYA (PERSERO) Tbk</v>
      </c>
      <c r="D98" s="30">
        <f>+kwitansi!$A$19</f>
        <v>57442500</v>
      </c>
    </row>
    <row r="99" spans="2:4" x14ac:dyDescent="0.35">
      <c r="B99" s="48" t="str">
        <f>+kwitansi!$J$1</f>
        <v>224/TKMPN/WKM/X/2026</v>
      </c>
      <c r="C99" s="29" t="str">
        <f>+kwitansi!$B$3</f>
        <v>PT WASKITA KARYA (PERSERO) Tbk</v>
      </c>
      <c r="D99" s="30">
        <f>+kwitansi!$A$19</f>
        <v>57442500</v>
      </c>
    </row>
    <row r="100" spans="2:4" x14ac:dyDescent="0.35">
      <c r="B100" s="48" t="str">
        <f>+kwitansi!$J$1</f>
        <v>224/TKMPN/WKM/X/2026</v>
      </c>
      <c r="C100" s="29" t="str">
        <f>+kwitansi!$B$3</f>
        <v>PT WASKITA KARYA (PERSERO) Tbk</v>
      </c>
      <c r="D100" s="30">
        <f>+kwitansi!$A$19</f>
        <v>57442500</v>
      </c>
    </row>
    <row r="101" spans="2:4" x14ac:dyDescent="0.35">
      <c r="B101" s="48" t="str">
        <f>+kwitansi!$J$1</f>
        <v>224/TKMPN/WKM/X/2026</v>
      </c>
      <c r="C101" s="29" t="str">
        <f>+kwitansi!$B$3</f>
        <v>PT WASKITA KARYA (PERSERO) Tbk</v>
      </c>
      <c r="D101" s="30">
        <f>+kwitansi!$A$19</f>
        <v>57442500</v>
      </c>
    </row>
    <row r="102" spans="2:4" x14ac:dyDescent="0.35">
      <c r="B102" s="48" t="str">
        <f>+kwitansi!$J$1</f>
        <v>224/TKMPN/WKM/X/2026</v>
      </c>
      <c r="C102" s="29" t="str">
        <f>+kwitansi!$B$3</f>
        <v>PT WASKITA KARYA (PERSERO) Tbk</v>
      </c>
      <c r="D102" s="30">
        <f>+kwitansi!$A$19</f>
        <v>57442500</v>
      </c>
    </row>
    <row r="103" spans="2:4" x14ac:dyDescent="0.35">
      <c r="B103" s="48" t="str">
        <f>+kwitansi!$J$1</f>
        <v>224/TKMPN/WKM/X/2026</v>
      </c>
      <c r="C103" s="29" t="str">
        <f>+kwitansi!$B$3</f>
        <v>PT WASKITA KARYA (PERSERO) Tbk</v>
      </c>
      <c r="D103" s="30">
        <f>+kwitansi!$A$19</f>
        <v>57442500</v>
      </c>
    </row>
    <row r="104" spans="2:4" x14ac:dyDescent="0.35">
      <c r="B104" s="48" t="str">
        <f>+kwitansi!$J$1</f>
        <v>224/TKMPN/WKM/X/2026</v>
      </c>
      <c r="C104" s="29" t="str">
        <f>+kwitansi!$B$3</f>
        <v>PT WASKITA KARYA (PERSERO) Tbk</v>
      </c>
      <c r="D104" s="30">
        <f>+kwitansi!$A$19</f>
        <v>57442500</v>
      </c>
    </row>
    <row r="105" spans="2:4" x14ac:dyDescent="0.35">
      <c r="B105" s="48" t="str">
        <f>+kwitansi!$J$1</f>
        <v>224/TKMPN/WKM/X/2026</v>
      </c>
      <c r="C105" s="29" t="str">
        <f>+kwitansi!$B$3</f>
        <v>PT WASKITA KARYA (PERSERO) Tbk</v>
      </c>
      <c r="D105" s="30">
        <f>+kwitansi!$A$19</f>
        <v>57442500</v>
      </c>
    </row>
    <row r="106" spans="2:4" x14ac:dyDescent="0.35">
      <c r="B106" s="48" t="str">
        <f>+kwitansi!$J$1</f>
        <v>224/TKMPN/WKM/X/2026</v>
      </c>
      <c r="C106" s="29" t="str">
        <f>+kwitansi!$B$3</f>
        <v>PT WASKITA KARYA (PERSERO) Tbk</v>
      </c>
      <c r="D106" s="30">
        <f>+kwitansi!$A$19</f>
        <v>57442500</v>
      </c>
    </row>
    <row r="107" spans="2:4" x14ac:dyDescent="0.35">
      <c r="B107" s="48" t="str">
        <f>+kwitansi!$J$1</f>
        <v>224/TKMPN/WKM/X/2026</v>
      </c>
      <c r="C107" s="29" t="str">
        <f>+kwitansi!$B$3</f>
        <v>PT WASKITA KARYA (PERSERO) Tbk</v>
      </c>
      <c r="D107" s="30">
        <f>+kwitansi!$A$19</f>
        <v>57442500</v>
      </c>
    </row>
    <row r="108" spans="2:4" x14ac:dyDescent="0.35">
      <c r="B108" s="48" t="str">
        <f>+kwitansi!$J$1</f>
        <v>224/TKMPN/WKM/X/2026</v>
      </c>
      <c r="C108" s="29" t="str">
        <f>+kwitansi!$B$3</f>
        <v>PT WASKITA KARYA (PERSERO) Tbk</v>
      </c>
      <c r="D108" s="30">
        <f>+kwitansi!$A$19</f>
        <v>57442500</v>
      </c>
    </row>
    <row r="109" spans="2:4" x14ac:dyDescent="0.35">
      <c r="B109" s="48" t="str">
        <f>+kwitansi!$J$1</f>
        <v>224/TKMPN/WKM/X/2026</v>
      </c>
      <c r="C109" s="29" t="str">
        <f>+kwitansi!$B$3</f>
        <v>PT WASKITA KARYA (PERSERO) Tbk</v>
      </c>
      <c r="D109" s="30">
        <f>+kwitansi!$A$19</f>
        <v>57442500</v>
      </c>
    </row>
    <row r="110" spans="2:4" x14ac:dyDescent="0.35">
      <c r="B110" s="48" t="str">
        <f>+kwitansi!$J$1</f>
        <v>224/TKMPN/WKM/X/2026</v>
      </c>
      <c r="C110" s="29" t="str">
        <f>+kwitansi!$B$3</f>
        <v>PT WASKITA KARYA (PERSERO) Tbk</v>
      </c>
      <c r="D110" s="30">
        <f>+kwitansi!$A$19</f>
        <v>57442500</v>
      </c>
    </row>
    <row r="111" spans="2:4" x14ac:dyDescent="0.35">
      <c r="B111" s="48" t="str">
        <f>+kwitansi!$J$1</f>
        <v>224/TKMPN/WKM/X/2026</v>
      </c>
      <c r="C111" s="29" t="str">
        <f>+kwitansi!$B$3</f>
        <v>PT WASKITA KARYA (PERSERO) Tbk</v>
      </c>
      <c r="D111" s="30">
        <f>+kwitansi!$A$19</f>
        <v>57442500</v>
      </c>
    </row>
    <row r="112" spans="2:4" x14ac:dyDescent="0.35">
      <c r="B112" s="48" t="str">
        <f>+kwitansi!$J$1</f>
        <v>224/TKMPN/WKM/X/2026</v>
      </c>
      <c r="C112" s="29" t="str">
        <f>+kwitansi!$B$3</f>
        <v>PT WASKITA KARYA (PERSERO) Tbk</v>
      </c>
      <c r="D112" s="30">
        <f>+kwitansi!$A$19</f>
        <v>57442500</v>
      </c>
    </row>
    <row r="113" spans="2:4" x14ac:dyDescent="0.35">
      <c r="B113" s="48" t="str">
        <f>+kwitansi!$J$1</f>
        <v>224/TKMPN/WKM/X/2026</v>
      </c>
      <c r="C113" s="29" t="str">
        <f>+kwitansi!$B$3</f>
        <v>PT WASKITA KARYA (PERSERO) Tbk</v>
      </c>
      <c r="D113" s="30">
        <f>+kwitansi!$A$19</f>
        <v>57442500</v>
      </c>
    </row>
    <row r="114" spans="2:4" x14ac:dyDescent="0.35">
      <c r="B114" s="48" t="str">
        <f>+kwitansi!$J$1</f>
        <v>224/TKMPN/WKM/X/2026</v>
      </c>
      <c r="C114" s="29" t="str">
        <f>+kwitansi!$B$3</f>
        <v>PT WASKITA KARYA (PERSERO) Tbk</v>
      </c>
      <c r="D114" s="30">
        <f>+kwitansi!$A$19</f>
        <v>57442500</v>
      </c>
    </row>
    <row r="115" spans="2:4" x14ac:dyDescent="0.35">
      <c r="B115" s="48" t="str">
        <f>+kwitansi!$J$1</f>
        <v>224/TKMPN/WKM/X/2026</v>
      </c>
      <c r="C115" s="29" t="str">
        <f>+kwitansi!$B$3</f>
        <v>PT WASKITA KARYA (PERSERO) Tbk</v>
      </c>
      <c r="D115" s="30">
        <f>+kwitansi!$A$19</f>
        <v>57442500</v>
      </c>
    </row>
    <row r="116" spans="2:4" x14ac:dyDescent="0.35">
      <c r="B116" s="48" t="str">
        <f>+kwitansi!$J$1</f>
        <v>224/TKMPN/WKM/X/2026</v>
      </c>
      <c r="C116" s="29" t="str">
        <f>+kwitansi!$B$3</f>
        <v>PT WASKITA KARYA (PERSERO) Tbk</v>
      </c>
      <c r="D116" s="30">
        <f>+kwitansi!$A$19</f>
        <v>57442500</v>
      </c>
    </row>
    <row r="117" spans="2:4" x14ac:dyDescent="0.35">
      <c r="B117" s="48" t="str">
        <f>+kwitansi!$J$1</f>
        <v>224/TKMPN/WKM/X/2026</v>
      </c>
      <c r="C117" s="29" t="str">
        <f>+kwitansi!$B$3</f>
        <v>PT WASKITA KARYA (PERSERO) Tbk</v>
      </c>
      <c r="D117" s="30">
        <f>+kwitansi!$A$19</f>
        <v>57442500</v>
      </c>
    </row>
    <row r="118" spans="2:4" x14ac:dyDescent="0.35">
      <c r="B118" s="48" t="str">
        <f>+kwitansi!$J$1</f>
        <v>224/TKMPN/WKM/X/2026</v>
      </c>
      <c r="C118" s="29" t="str">
        <f>+kwitansi!$B$3</f>
        <v>PT WASKITA KARYA (PERSERO) Tbk</v>
      </c>
      <c r="D118" s="30">
        <f>+kwitansi!$A$19</f>
        <v>57442500</v>
      </c>
    </row>
    <row r="119" spans="2:4" x14ac:dyDescent="0.35">
      <c r="B119" s="48" t="str">
        <f>+kwitansi!$J$1</f>
        <v>224/TKMPN/WKM/X/2026</v>
      </c>
      <c r="C119" s="29" t="str">
        <f>+kwitansi!$B$3</f>
        <v>PT WASKITA KARYA (PERSERO) Tbk</v>
      </c>
      <c r="D119" s="30">
        <f>+kwitansi!$A$19</f>
        <v>57442500</v>
      </c>
    </row>
    <row r="120" spans="2:4" x14ac:dyDescent="0.35">
      <c r="B120" s="48" t="str">
        <f>+kwitansi!$J$1</f>
        <v>224/TKMPN/WKM/X/2026</v>
      </c>
      <c r="C120" s="29" t="str">
        <f>+kwitansi!$B$3</f>
        <v>PT WASKITA KARYA (PERSERO) Tbk</v>
      </c>
      <c r="D120" s="30">
        <f>+kwitansi!$A$19</f>
        <v>57442500</v>
      </c>
    </row>
    <row r="121" spans="2:4" x14ac:dyDescent="0.35">
      <c r="B121" s="48" t="str">
        <f>+kwitansi!$J$1</f>
        <v>224/TKMPN/WKM/X/2026</v>
      </c>
      <c r="C121" s="29" t="str">
        <f>+kwitansi!$B$3</f>
        <v>PT WASKITA KARYA (PERSERO) Tbk</v>
      </c>
      <c r="D121" s="30">
        <f>+kwitansi!$A$19</f>
        <v>57442500</v>
      </c>
    </row>
    <row r="122" spans="2:4" x14ac:dyDescent="0.35">
      <c r="B122" s="48" t="str">
        <f>+kwitansi!$J$1</f>
        <v>224/TKMPN/WKM/X/2026</v>
      </c>
      <c r="C122" s="29" t="str">
        <f>+kwitansi!$B$3</f>
        <v>PT WASKITA KARYA (PERSERO) Tbk</v>
      </c>
      <c r="D122" s="30">
        <f>+kwitansi!$A$19</f>
        <v>57442500</v>
      </c>
    </row>
    <row r="123" spans="2:4" x14ac:dyDescent="0.35">
      <c r="B123" s="48" t="str">
        <f>+kwitansi!$J$1</f>
        <v>224/TKMPN/WKM/X/2026</v>
      </c>
      <c r="C123" s="29" t="str">
        <f>+kwitansi!$B$3</f>
        <v>PT WASKITA KARYA (PERSERO) Tbk</v>
      </c>
      <c r="D123" s="30">
        <f>+kwitansi!$A$19</f>
        <v>57442500</v>
      </c>
    </row>
  </sheetData>
  <phoneticPr fontId="10" type="noConversion"/>
  <pageMargins left="0.19685039370078741" right="0.19685039370078741" top="0.39370078740157483" bottom="0.98425196850393704" header="0.19685039370078741" footer="0.51181102362204722"/>
  <pageSetup paperSize="9" scale="85" orientation="landscape" horizontalDpi="120" verticalDpi="14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Y12"/>
  <sheetViews>
    <sheetView topLeftCell="F1" workbookViewId="0">
      <selection activeCell="R4" sqref="R4"/>
    </sheetView>
  </sheetViews>
  <sheetFormatPr defaultRowHeight="15.5" x14ac:dyDescent="0.35"/>
  <cols>
    <col min="1" max="1" width="8.84375"/>
    <col min="2" max="2" width="12.4609375" style="5" customWidth="1"/>
    <col min="3" max="3" width="14.765625" customWidth="1"/>
    <col min="4" max="4" width="11.3046875" customWidth="1"/>
    <col min="5" max="5" width="13.765625" customWidth="1"/>
    <col min="6" max="6" width="11.3046875" customWidth="1"/>
    <col min="7" max="7" width="13.53515625" customWidth="1"/>
    <col min="8" max="8" width="10" style="5" customWidth="1"/>
    <col min="9" max="9" width="12.4609375" customWidth="1"/>
    <col min="10" max="10" width="8.53515625" style="5" customWidth="1"/>
    <col min="11" max="11" width="13.765625" customWidth="1"/>
    <col min="12" max="12" width="6" customWidth="1"/>
    <col min="13" max="13" width="17.84375" customWidth="1"/>
    <col min="14" max="14" width="6" customWidth="1"/>
    <col min="15" max="15" width="11.23046875" customWidth="1"/>
    <col min="17" max="17" width="12.3046875" customWidth="1"/>
    <col min="18" max="18" width="4" customWidth="1"/>
    <col min="19" max="19" width="13.3046875" customWidth="1"/>
    <col min="20" max="20" width="3" customWidth="1"/>
    <col min="21" max="21" width="13.07421875" customWidth="1"/>
    <col min="22" max="22" width="2" customWidth="1"/>
    <col min="24" max="24" width="3" customWidth="1"/>
  </cols>
  <sheetData>
    <row r="4" spans="2:25" x14ac:dyDescent="0.35">
      <c r="B4" s="5">
        <f t="shared" ref="B4:B12" si="0">+R4*1000000</f>
        <v>100000000</v>
      </c>
      <c r="C4" t="str">
        <f t="shared" ref="C4:C12" si="1">+S4</f>
        <v xml:space="preserve">Seratus </v>
      </c>
      <c r="D4" s="5">
        <f t="shared" ref="D4:D12" si="2">+X4*1000000</f>
        <v>11000000</v>
      </c>
      <c r="E4" t="s">
        <v>72</v>
      </c>
      <c r="F4" s="5">
        <f t="shared" ref="F4:F12" si="3">+T4*1000000</f>
        <v>10000000</v>
      </c>
      <c r="G4" t="s">
        <v>25</v>
      </c>
      <c r="H4" s="5">
        <v>1000000</v>
      </c>
      <c r="I4" t="s">
        <v>63</v>
      </c>
      <c r="J4" s="5">
        <v>100000</v>
      </c>
      <c r="K4" t="s">
        <v>16</v>
      </c>
      <c r="L4">
        <v>11000</v>
      </c>
      <c r="M4" t="s">
        <v>51</v>
      </c>
      <c r="N4">
        <v>10000</v>
      </c>
      <c r="O4" t="s">
        <v>25</v>
      </c>
      <c r="P4">
        <v>1000</v>
      </c>
      <c r="Q4" t="s">
        <v>81</v>
      </c>
      <c r="R4">
        <v>100</v>
      </c>
      <c r="S4" t="s">
        <v>16</v>
      </c>
      <c r="T4">
        <v>10</v>
      </c>
      <c r="U4" t="s">
        <v>25</v>
      </c>
      <c r="V4">
        <v>1</v>
      </c>
      <c r="W4" t="s">
        <v>36</v>
      </c>
      <c r="X4">
        <v>11</v>
      </c>
      <c r="Y4" t="s">
        <v>34</v>
      </c>
    </row>
    <row r="5" spans="2:25" x14ac:dyDescent="0.35">
      <c r="B5" s="5">
        <f t="shared" si="0"/>
        <v>200000000</v>
      </c>
      <c r="C5" t="str">
        <f t="shared" si="1"/>
        <v xml:space="preserve">Dua Ratus </v>
      </c>
      <c r="D5" s="5">
        <f t="shared" si="2"/>
        <v>12000000</v>
      </c>
      <c r="E5" t="s">
        <v>73</v>
      </c>
      <c r="F5" s="5">
        <f t="shared" si="3"/>
        <v>20000000</v>
      </c>
      <c r="G5" t="s">
        <v>26</v>
      </c>
      <c r="H5" s="5">
        <f t="shared" ref="H5:H12" si="4">+H4+1000000</f>
        <v>2000000</v>
      </c>
      <c r="I5" t="s">
        <v>64</v>
      </c>
      <c r="J5" s="5">
        <f t="shared" ref="J5:J12" si="5">+J4+100000</f>
        <v>200000</v>
      </c>
      <c r="K5" t="s">
        <v>17</v>
      </c>
      <c r="L5">
        <v>12000</v>
      </c>
      <c r="M5" t="s">
        <v>52</v>
      </c>
      <c r="N5">
        <f t="shared" ref="N5:N12" si="6">+N4+10000</f>
        <v>20000</v>
      </c>
      <c r="O5" t="s">
        <v>26</v>
      </c>
      <c r="P5">
        <v>2000</v>
      </c>
      <c r="Q5" t="s">
        <v>8</v>
      </c>
      <c r="R5">
        <f t="shared" ref="R5:R12" si="7">+R4+100</f>
        <v>200</v>
      </c>
      <c r="S5" t="s">
        <v>17</v>
      </c>
      <c r="T5">
        <f t="shared" ref="T5:T12" si="8">+T4+10</f>
        <v>20</v>
      </c>
      <c r="U5" t="s">
        <v>26</v>
      </c>
      <c r="V5">
        <v>2</v>
      </c>
      <c r="W5" t="s">
        <v>7</v>
      </c>
      <c r="X5">
        <f t="shared" ref="X5:X12" si="9">+X4+1</f>
        <v>12</v>
      </c>
      <c r="Y5" t="s">
        <v>35</v>
      </c>
    </row>
    <row r="6" spans="2:25" x14ac:dyDescent="0.35">
      <c r="B6" s="5">
        <f t="shared" si="0"/>
        <v>300000000</v>
      </c>
      <c r="C6" t="str">
        <f t="shared" si="1"/>
        <v xml:space="preserve">Tiga Ratus </v>
      </c>
      <c r="D6" s="5">
        <f t="shared" si="2"/>
        <v>13000000</v>
      </c>
      <c r="E6" t="s">
        <v>74</v>
      </c>
      <c r="F6" s="5">
        <f t="shared" si="3"/>
        <v>30000000</v>
      </c>
      <c r="G6" t="s">
        <v>27</v>
      </c>
      <c r="H6" s="5">
        <f t="shared" si="4"/>
        <v>3000000</v>
      </c>
      <c r="I6" t="s">
        <v>65</v>
      </c>
      <c r="J6" s="5">
        <f t="shared" si="5"/>
        <v>300000</v>
      </c>
      <c r="K6" t="s">
        <v>18</v>
      </c>
      <c r="L6">
        <v>13000</v>
      </c>
      <c r="M6" t="s">
        <v>53</v>
      </c>
      <c r="N6">
        <f t="shared" si="6"/>
        <v>30000</v>
      </c>
      <c r="O6" t="s">
        <v>27</v>
      </c>
      <c r="P6">
        <v>3000</v>
      </c>
      <c r="Q6" t="s">
        <v>9</v>
      </c>
      <c r="R6">
        <f t="shared" si="7"/>
        <v>300</v>
      </c>
      <c r="S6" t="s">
        <v>18</v>
      </c>
      <c r="T6">
        <f t="shared" si="8"/>
        <v>30</v>
      </c>
      <c r="U6" t="s">
        <v>27</v>
      </c>
      <c r="V6">
        <v>3</v>
      </c>
      <c r="W6" t="s">
        <v>0</v>
      </c>
      <c r="X6">
        <f t="shared" si="9"/>
        <v>13</v>
      </c>
      <c r="Y6" t="s">
        <v>37</v>
      </c>
    </row>
    <row r="7" spans="2:25" x14ac:dyDescent="0.35">
      <c r="B7" s="5">
        <f t="shared" si="0"/>
        <v>400000000</v>
      </c>
      <c r="C7" t="str">
        <f t="shared" si="1"/>
        <v xml:space="preserve">Empat Ratus </v>
      </c>
      <c r="D7" s="5">
        <f t="shared" si="2"/>
        <v>14000000</v>
      </c>
      <c r="E7" t="s">
        <v>75</v>
      </c>
      <c r="F7" s="5">
        <f t="shared" si="3"/>
        <v>40000000</v>
      </c>
      <c r="G7" t="s">
        <v>28</v>
      </c>
      <c r="H7" s="5">
        <f t="shared" si="4"/>
        <v>4000000</v>
      </c>
      <c r="I7" t="s">
        <v>66</v>
      </c>
      <c r="J7" s="5">
        <f t="shared" si="5"/>
        <v>400000</v>
      </c>
      <c r="K7" t="s">
        <v>19</v>
      </c>
      <c r="L7">
        <v>14000</v>
      </c>
      <c r="M7" t="s">
        <v>54</v>
      </c>
      <c r="N7">
        <f t="shared" si="6"/>
        <v>40000</v>
      </c>
      <c r="O7" t="s">
        <v>28</v>
      </c>
      <c r="P7">
        <v>4000</v>
      </c>
      <c r="Q7" t="s">
        <v>10</v>
      </c>
      <c r="R7">
        <f t="shared" si="7"/>
        <v>400</v>
      </c>
      <c r="S7" t="s">
        <v>19</v>
      </c>
      <c r="T7">
        <f t="shared" si="8"/>
        <v>40</v>
      </c>
      <c r="U7" t="s">
        <v>28</v>
      </c>
      <c r="V7">
        <v>4</v>
      </c>
      <c r="W7" t="s">
        <v>1</v>
      </c>
      <c r="X7">
        <f t="shared" si="9"/>
        <v>14</v>
      </c>
      <c r="Y7" t="s">
        <v>38</v>
      </c>
    </row>
    <row r="8" spans="2:25" x14ac:dyDescent="0.35">
      <c r="B8" s="5">
        <f t="shared" si="0"/>
        <v>500000000</v>
      </c>
      <c r="C8" t="str">
        <f t="shared" si="1"/>
        <v xml:space="preserve">Lima Ratus </v>
      </c>
      <c r="D8" s="5">
        <f t="shared" si="2"/>
        <v>15000000</v>
      </c>
      <c r="E8" t="s">
        <v>76</v>
      </c>
      <c r="F8" s="5">
        <f t="shared" si="3"/>
        <v>50000000</v>
      </c>
      <c r="G8" t="s">
        <v>29</v>
      </c>
      <c r="H8" s="5">
        <f t="shared" si="4"/>
        <v>5000000</v>
      </c>
      <c r="I8" t="s">
        <v>67</v>
      </c>
      <c r="J8" s="5">
        <f t="shared" si="5"/>
        <v>500000</v>
      </c>
      <c r="K8" t="s">
        <v>20</v>
      </c>
      <c r="L8">
        <v>15000</v>
      </c>
      <c r="M8" t="s">
        <v>55</v>
      </c>
      <c r="N8">
        <f t="shared" si="6"/>
        <v>50000</v>
      </c>
      <c r="O8" t="s">
        <v>29</v>
      </c>
      <c r="P8">
        <v>5000</v>
      </c>
      <c r="Q8" t="s">
        <v>11</v>
      </c>
      <c r="R8">
        <f t="shared" si="7"/>
        <v>500</v>
      </c>
      <c r="S8" t="s">
        <v>20</v>
      </c>
      <c r="T8">
        <f t="shared" si="8"/>
        <v>50</v>
      </c>
      <c r="U8" t="s">
        <v>29</v>
      </c>
      <c r="V8">
        <v>5</v>
      </c>
      <c r="W8" t="s">
        <v>2</v>
      </c>
      <c r="X8">
        <f t="shared" si="9"/>
        <v>15</v>
      </c>
      <c r="Y8" t="s">
        <v>39</v>
      </c>
    </row>
    <row r="9" spans="2:25" x14ac:dyDescent="0.35">
      <c r="B9" s="5">
        <f t="shared" si="0"/>
        <v>600000000</v>
      </c>
      <c r="C9" t="str">
        <f t="shared" si="1"/>
        <v xml:space="preserve">Enam Ratus </v>
      </c>
      <c r="D9" s="5">
        <f t="shared" si="2"/>
        <v>16000000</v>
      </c>
      <c r="E9" t="s">
        <v>77</v>
      </c>
      <c r="F9" s="5">
        <f t="shared" si="3"/>
        <v>60000000</v>
      </c>
      <c r="G9" t="s">
        <v>30</v>
      </c>
      <c r="H9" s="5">
        <f t="shared" si="4"/>
        <v>6000000</v>
      </c>
      <c r="I9" t="s">
        <v>68</v>
      </c>
      <c r="J9" s="5">
        <f t="shared" si="5"/>
        <v>600000</v>
      </c>
      <c r="K9" t="s">
        <v>21</v>
      </c>
      <c r="L9">
        <v>16000</v>
      </c>
      <c r="M9" t="s">
        <v>56</v>
      </c>
      <c r="N9">
        <f t="shared" si="6"/>
        <v>60000</v>
      </c>
      <c r="O9" t="s">
        <v>30</v>
      </c>
      <c r="P9">
        <v>6000</v>
      </c>
      <c r="Q9" t="s">
        <v>12</v>
      </c>
      <c r="R9">
        <f t="shared" si="7"/>
        <v>600</v>
      </c>
      <c r="S9" t="s">
        <v>21</v>
      </c>
      <c r="T9">
        <f t="shared" si="8"/>
        <v>60</v>
      </c>
      <c r="U9" t="s">
        <v>30</v>
      </c>
      <c r="V9">
        <v>6</v>
      </c>
      <c r="W9" t="s">
        <v>3</v>
      </c>
      <c r="X9">
        <f t="shared" si="9"/>
        <v>16</v>
      </c>
      <c r="Y9" t="s">
        <v>40</v>
      </c>
    </row>
    <row r="10" spans="2:25" x14ac:dyDescent="0.35">
      <c r="B10" s="5">
        <f t="shared" si="0"/>
        <v>700000000</v>
      </c>
      <c r="C10" t="str">
        <f t="shared" si="1"/>
        <v xml:space="preserve">Tujuh Ratus </v>
      </c>
      <c r="D10" s="5">
        <f t="shared" si="2"/>
        <v>17000000</v>
      </c>
      <c r="E10" t="s">
        <v>78</v>
      </c>
      <c r="F10" s="5">
        <f t="shared" si="3"/>
        <v>70000000</v>
      </c>
      <c r="G10" t="s">
        <v>31</v>
      </c>
      <c r="H10" s="5">
        <f t="shared" si="4"/>
        <v>7000000</v>
      </c>
      <c r="I10" t="s">
        <v>69</v>
      </c>
      <c r="J10" s="5">
        <f t="shared" si="5"/>
        <v>700000</v>
      </c>
      <c r="K10" t="s">
        <v>22</v>
      </c>
      <c r="L10">
        <v>17000</v>
      </c>
      <c r="M10" t="s">
        <v>57</v>
      </c>
      <c r="N10">
        <f t="shared" si="6"/>
        <v>70000</v>
      </c>
      <c r="O10" t="s">
        <v>31</v>
      </c>
      <c r="P10">
        <v>7000</v>
      </c>
      <c r="Q10" t="s">
        <v>13</v>
      </c>
      <c r="R10">
        <f t="shared" si="7"/>
        <v>700</v>
      </c>
      <c r="S10" t="s">
        <v>22</v>
      </c>
      <c r="T10">
        <f t="shared" si="8"/>
        <v>70</v>
      </c>
      <c r="U10" t="s">
        <v>31</v>
      </c>
      <c r="V10">
        <v>7</v>
      </c>
      <c r="W10" t="s">
        <v>4</v>
      </c>
      <c r="X10">
        <f t="shared" si="9"/>
        <v>17</v>
      </c>
      <c r="Y10" t="s">
        <v>41</v>
      </c>
    </row>
    <row r="11" spans="2:25" x14ac:dyDescent="0.35">
      <c r="B11" s="5">
        <f t="shared" si="0"/>
        <v>800000000</v>
      </c>
      <c r="C11" t="str">
        <f t="shared" si="1"/>
        <v xml:space="preserve">Delapan Ratus </v>
      </c>
      <c r="D11" s="5">
        <f t="shared" si="2"/>
        <v>18000000</v>
      </c>
      <c r="E11" t="s">
        <v>79</v>
      </c>
      <c r="F11" s="5">
        <f t="shared" si="3"/>
        <v>80000000</v>
      </c>
      <c r="G11" t="s">
        <v>32</v>
      </c>
      <c r="H11" s="5">
        <f t="shared" si="4"/>
        <v>8000000</v>
      </c>
      <c r="I11" t="s">
        <v>70</v>
      </c>
      <c r="J11" s="5">
        <f t="shared" si="5"/>
        <v>800000</v>
      </c>
      <c r="K11" t="s">
        <v>23</v>
      </c>
      <c r="L11">
        <v>18000</v>
      </c>
      <c r="M11" t="s">
        <v>58</v>
      </c>
      <c r="N11">
        <f t="shared" si="6"/>
        <v>80000</v>
      </c>
      <c r="O11" t="s">
        <v>32</v>
      </c>
      <c r="P11">
        <v>8000</v>
      </c>
      <c r="Q11" t="s">
        <v>14</v>
      </c>
      <c r="R11">
        <f t="shared" si="7"/>
        <v>800</v>
      </c>
      <c r="S11" t="s">
        <v>23</v>
      </c>
      <c r="T11">
        <f t="shared" si="8"/>
        <v>80</v>
      </c>
      <c r="U11" t="s">
        <v>32</v>
      </c>
      <c r="V11">
        <v>8</v>
      </c>
      <c r="W11" t="s">
        <v>5</v>
      </c>
      <c r="X11">
        <f t="shared" si="9"/>
        <v>18</v>
      </c>
      <c r="Y11" t="s">
        <v>42</v>
      </c>
    </row>
    <row r="12" spans="2:25" x14ac:dyDescent="0.35">
      <c r="B12" s="5">
        <f t="shared" si="0"/>
        <v>900000000</v>
      </c>
      <c r="C12" t="str">
        <f t="shared" si="1"/>
        <v xml:space="preserve">Sembilan Ratus </v>
      </c>
      <c r="D12" s="5">
        <f t="shared" si="2"/>
        <v>19000000</v>
      </c>
      <c r="E12" t="s">
        <v>80</v>
      </c>
      <c r="F12" s="5">
        <f t="shared" si="3"/>
        <v>90000000</v>
      </c>
      <c r="G12" t="s">
        <v>33</v>
      </c>
      <c r="H12" s="5">
        <f t="shared" si="4"/>
        <v>9000000</v>
      </c>
      <c r="I12" t="s">
        <v>71</v>
      </c>
      <c r="J12" s="5">
        <f t="shared" si="5"/>
        <v>900000</v>
      </c>
      <c r="K12" t="s">
        <v>24</v>
      </c>
      <c r="L12">
        <v>19000</v>
      </c>
      <c r="M12" t="s">
        <v>59</v>
      </c>
      <c r="N12">
        <f t="shared" si="6"/>
        <v>90000</v>
      </c>
      <c r="O12" t="s">
        <v>33</v>
      </c>
      <c r="P12">
        <v>9000</v>
      </c>
      <c r="Q12" t="s">
        <v>15</v>
      </c>
      <c r="R12">
        <f t="shared" si="7"/>
        <v>900</v>
      </c>
      <c r="S12" t="s">
        <v>24</v>
      </c>
      <c r="T12">
        <f t="shared" si="8"/>
        <v>90</v>
      </c>
      <c r="U12" t="s">
        <v>33</v>
      </c>
      <c r="V12">
        <v>9</v>
      </c>
      <c r="W12" t="s">
        <v>6</v>
      </c>
      <c r="X12">
        <f t="shared" si="9"/>
        <v>19</v>
      </c>
      <c r="Y12" t="s">
        <v>43</v>
      </c>
    </row>
  </sheetData>
  <sheetProtection sheet="1" objects="1" scenarios="1" selectLockedCells="1" selectUnlockedCells="1"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160"/>
  <sheetViews>
    <sheetView topLeftCell="A142" workbookViewId="0">
      <selection activeCell="F148" sqref="F148"/>
    </sheetView>
  </sheetViews>
  <sheetFormatPr defaultRowHeight="15.5" x14ac:dyDescent="0.35"/>
  <cols>
    <col min="2" max="2" width="9.84375" bestFit="1" customWidth="1"/>
    <col min="3" max="3" width="22.53515625" customWidth="1"/>
    <col min="4" max="4" width="13.53515625" bestFit="1" customWidth="1"/>
    <col min="5" max="5" width="12" bestFit="1" customWidth="1"/>
    <col min="6" max="6" width="12.69140625" customWidth="1"/>
    <col min="8" max="8" width="12" bestFit="1" customWidth="1"/>
    <col min="10" max="10" width="15.4609375" customWidth="1"/>
    <col min="12" max="12" width="11" bestFit="1" customWidth="1"/>
    <col min="17" max="17" width="11" bestFit="1" customWidth="1"/>
  </cols>
  <sheetData>
    <row r="1" spans="2:8" x14ac:dyDescent="0.35">
      <c r="H1" s="32">
        <v>133600000</v>
      </c>
    </row>
    <row r="2" spans="2:8" x14ac:dyDescent="0.35">
      <c r="H2" s="32">
        <v>40000000</v>
      </c>
    </row>
    <row r="4" spans="2:8" x14ac:dyDescent="0.35">
      <c r="B4" s="33">
        <v>39410</v>
      </c>
      <c r="C4" t="s">
        <v>106</v>
      </c>
      <c r="D4" s="32">
        <v>1850000</v>
      </c>
      <c r="E4" s="32"/>
      <c r="F4" s="32">
        <f>+D4-E4</f>
        <v>1850000</v>
      </c>
    </row>
    <row r="5" spans="2:8" x14ac:dyDescent="0.35">
      <c r="C5" t="s">
        <v>106</v>
      </c>
      <c r="D5" s="32">
        <v>15000000</v>
      </c>
      <c r="E5" s="32"/>
      <c r="F5" s="32">
        <f>+F4+D5-E5</f>
        <v>16850000</v>
      </c>
    </row>
    <row r="6" spans="2:8" x14ac:dyDescent="0.35">
      <c r="C6" t="s">
        <v>107</v>
      </c>
      <c r="D6" s="32"/>
      <c r="E6" s="32">
        <v>5000000</v>
      </c>
      <c r="F6" s="32">
        <f t="shared" ref="F6:F69" si="0">+F5+D6-E6</f>
        <v>11850000</v>
      </c>
    </row>
    <row r="7" spans="2:8" x14ac:dyDescent="0.35">
      <c r="B7" s="33">
        <v>39411</v>
      </c>
      <c r="C7" t="s">
        <v>108</v>
      </c>
      <c r="D7" s="32"/>
      <c r="E7" s="32">
        <v>210000</v>
      </c>
      <c r="F7" s="32">
        <f t="shared" si="0"/>
        <v>11640000</v>
      </c>
    </row>
    <row r="8" spans="2:8" x14ac:dyDescent="0.35">
      <c r="C8" t="s">
        <v>109</v>
      </c>
      <c r="D8" s="32"/>
      <c r="E8" s="32">
        <v>52000</v>
      </c>
      <c r="F8" s="32">
        <f t="shared" si="0"/>
        <v>11588000</v>
      </c>
      <c r="H8" s="34">
        <f>+H1-H2-H3-H4-H5-H6-H7</f>
        <v>93600000</v>
      </c>
    </row>
    <row r="9" spans="2:8" x14ac:dyDescent="0.35">
      <c r="C9" t="s">
        <v>110</v>
      </c>
      <c r="D9" s="32"/>
      <c r="E9" s="32">
        <v>16000</v>
      </c>
      <c r="F9" s="32">
        <f t="shared" si="0"/>
        <v>11572000</v>
      </c>
    </row>
    <row r="10" spans="2:8" x14ac:dyDescent="0.35">
      <c r="C10" t="s">
        <v>111</v>
      </c>
      <c r="D10" s="32"/>
      <c r="E10" s="32">
        <v>2000000</v>
      </c>
      <c r="F10" s="32">
        <f t="shared" si="0"/>
        <v>9572000</v>
      </c>
    </row>
    <row r="11" spans="2:8" x14ac:dyDescent="0.35">
      <c r="C11" t="s">
        <v>112</v>
      </c>
      <c r="D11" s="32"/>
      <c r="E11" s="32">
        <v>118000</v>
      </c>
      <c r="F11" s="32">
        <f t="shared" si="0"/>
        <v>9454000</v>
      </c>
    </row>
    <row r="12" spans="2:8" x14ac:dyDescent="0.35">
      <c r="C12" t="s">
        <v>113</v>
      </c>
      <c r="D12" s="32"/>
      <c r="E12" s="32">
        <v>1600000</v>
      </c>
      <c r="F12" s="32">
        <f t="shared" si="0"/>
        <v>7854000</v>
      </c>
    </row>
    <row r="13" spans="2:8" x14ac:dyDescent="0.35">
      <c r="C13" t="s">
        <v>114</v>
      </c>
      <c r="D13" s="35"/>
      <c r="E13" s="32">
        <v>400000</v>
      </c>
      <c r="F13" s="32">
        <f t="shared" si="0"/>
        <v>7454000</v>
      </c>
    </row>
    <row r="14" spans="2:8" x14ac:dyDescent="0.35">
      <c r="C14" t="s">
        <v>115</v>
      </c>
      <c r="D14" s="35"/>
      <c r="E14" s="32">
        <v>52000</v>
      </c>
      <c r="F14" s="32">
        <f t="shared" si="0"/>
        <v>7402000</v>
      </c>
    </row>
    <row r="15" spans="2:8" x14ac:dyDescent="0.35">
      <c r="C15" t="s">
        <v>217</v>
      </c>
      <c r="D15" s="35"/>
      <c r="E15" s="32">
        <v>500000</v>
      </c>
      <c r="F15" s="32">
        <f t="shared" si="0"/>
        <v>6902000</v>
      </c>
    </row>
    <row r="16" spans="2:8" x14ac:dyDescent="0.35">
      <c r="B16" t="s">
        <v>136</v>
      </c>
      <c r="C16" t="s">
        <v>116</v>
      </c>
      <c r="D16" s="35">
        <v>53200000</v>
      </c>
      <c r="E16" s="32"/>
      <c r="F16" s="32">
        <f t="shared" si="0"/>
        <v>60102000</v>
      </c>
    </row>
    <row r="17" spans="3:6" x14ac:dyDescent="0.35">
      <c r="C17" t="s">
        <v>103</v>
      </c>
      <c r="D17" s="35">
        <v>70600000</v>
      </c>
      <c r="E17" s="32"/>
      <c r="F17" s="32">
        <f t="shared" si="0"/>
        <v>130702000</v>
      </c>
    </row>
    <row r="18" spans="3:6" x14ac:dyDescent="0.35">
      <c r="C18" t="s">
        <v>117</v>
      </c>
      <c r="D18" s="35">
        <v>2000000</v>
      </c>
      <c r="E18" s="32"/>
      <c r="F18" s="32">
        <f t="shared" si="0"/>
        <v>132702000</v>
      </c>
    </row>
    <row r="19" spans="3:6" x14ac:dyDescent="0.35">
      <c r="D19" s="35"/>
      <c r="E19" s="32"/>
      <c r="F19" s="32">
        <f t="shared" si="0"/>
        <v>132702000</v>
      </c>
    </row>
    <row r="20" spans="3:6" x14ac:dyDescent="0.35">
      <c r="C20" t="s">
        <v>118</v>
      </c>
      <c r="D20" s="35"/>
      <c r="E20" s="32">
        <v>900000</v>
      </c>
      <c r="F20" s="32">
        <f t="shared" si="0"/>
        <v>131802000</v>
      </c>
    </row>
    <row r="21" spans="3:6" x14ac:dyDescent="0.35">
      <c r="C21" t="s">
        <v>119</v>
      </c>
      <c r="D21" s="35"/>
      <c r="E21" s="32">
        <v>300000</v>
      </c>
      <c r="F21" s="32">
        <f t="shared" si="0"/>
        <v>131502000</v>
      </c>
    </row>
    <row r="22" spans="3:6" x14ac:dyDescent="0.35">
      <c r="C22" t="s">
        <v>120</v>
      </c>
      <c r="D22" s="35"/>
      <c r="E22" s="32">
        <v>1000000</v>
      </c>
      <c r="F22" s="32">
        <f t="shared" si="0"/>
        <v>130502000</v>
      </c>
    </row>
    <row r="23" spans="3:6" x14ac:dyDescent="0.35">
      <c r="C23" t="s">
        <v>121</v>
      </c>
      <c r="D23" s="35"/>
      <c r="E23" s="32">
        <v>7000000</v>
      </c>
      <c r="F23" s="32">
        <f t="shared" si="0"/>
        <v>123502000</v>
      </c>
    </row>
    <row r="24" spans="3:6" x14ac:dyDescent="0.35">
      <c r="C24" t="s">
        <v>102</v>
      </c>
      <c r="D24" s="35">
        <v>2000000</v>
      </c>
      <c r="E24" s="32"/>
      <c r="F24" s="32">
        <f t="shared" si="0"/>
        <v>125502000</v>
      </c>
    </row>
    <row r="25" spans="3:6" x14ac:dyDescent="0.35">
      <c r="C25" t="s">
        <v>122</v>
      </c>
      <c r="D25" s="35">
        <v>3500000</v>
      </c>
      <c r="E25" s="32"/>
      <c r="F25" s="32">
        <f t="shared" si="0"/>
        <v>129002000</v>
      </c>
    </row>
    <row r="26" spans="3:6" x14ac:dyDescent="0.35">
      <c r="C26" t="s">
        <v>123</v>
      </c>
      <c r="D26" s="35"/>
      <c r="E26" s="32">
        <v>5000000</v>
      </c>
      <c r="F26" s="32">
        <f t="shared" si="0"/>
        <v>124002000</v>
      </c>
    </row>
    <row r="27" spans="3:6" x14ac:dyDescent="0.35">
      <c r="C27" t="s">
        <v>124</v>
      </c>
      <c r="D27" s="35"/>
      <c r="E27" s="32">
        <v>1000000</v>
      </c>
      <c r="F27" s="32">
        <f t="shared" si="0"/>
        <v>123002000</v>
      </c>
    </row>
    <row r="28" spans="3:6" x14ac:dyDescent="0.35">
      <c r="C28" t="s">
        <v>125</v>
      </c>
      <c r="D28" s="35"/>
      <c r="E28" s="32">
        <v>1000000</v>
      </c>
      <c r="F28" s="32">
        <f t="shared" si="0"/>
        <v>122002000</v>
      </c>
    </row>
    <row r="29" spans="3:6" x14ac:dyDescent="0.35">
      <c r="C29" t="s">
        <v>126</v>
      </c>
      <c r="D29" s="35"/>
      <c r="E29" s="32">
        <v>2000000</v>
      </c>
      <c r="F29" s="32">
        <f t="shared" si="0"/>
        <v>120002000</v>
      </c>
    </row>
    <row r="30" spans="3:6" x14ac:dyDescent="0.35">
      <c r="C30" t="s">
        <v>127</v>
      </c>
      <c r="D30" s="35"/>
      <c r="E30" s="32">
        <v>2000000</v>
      </c>
      <c r="F30" s="32">
        <f t="shared" si="0"/>
        <v>118002000</v>
      </c>
    </row>
    <row r="31" spans="3:6" x14ac:dyDescent="0.35">
      <c r="C31" t="s">
        <v>128</v>
      </c>
      <c r="D31" s="35"/>
      <c r="E31" s="32">
        <v>2000000</v>
      </c>
      <c r="F31" s="32">
        <f t="shared" si="0"/>
        <v>116002000</v>
      </c>
    </row>
    <row r="32" spans="3:6" x14ac:dyDescent="0.35">
      <c r="C32" t="s">
        <v>129</v>
      </c>
      <c r="D32" s="35"/>
      <c r="E32" s="32">
        <v>1000000</v>
      </c>
      <c r="F32" s="32">
        <f t="shared" si="0"/>
        <v>115002000</v>
      </c>
    </row>
    <row r="33" spans="2:6" x14ac:dyDescent="0.35">
      <c r="C33" t="s">
        <v>130</v>
      </c>
      <c r="D33" s="35"/>
      <c r="E33" s="32">
        <v>400000</v>
      </c>
      <c r="F33" s="32">
        <f t="shared" si="0"/>
        <v>114602000</v>
      </c>
    </row>
    <row r="34" spans="2:6" x14ac:dyDescent="0.35">
      <c r="C34" t="s">
        <v>131</v>
      </c>
      <c r="D34" s="35"/>
      <c r="E34" s="32">
        <v>400000</v>
      </c>
      <c r="F34" s="32">
        <f t="shared" si="0"/>
        <v>114202000</v>
      </c>
    </row>
    <row r="35" spans="2:6" x14ac:dyDescent="0.35">
      <c r="B35" s="33">
        <v>39413</v>
      </c>
      <c r="C35" t="s">
        <v>135</v>
      </c>
      <c r="D35" s="35">
        <v>3500000</v>
      </c>
      <c r="E35" s="32"/>
      <c r="F35" s="32">
        <f t="shared" si="0"/>
        <v>117702000</v>
      </c>
    </row>
    <row r="36" spans="2:6" x14ac:dyDescent="0.35">
      <c r="C36" t="s">
        <v>120</v>
      </c>
      <c r="D36" s="35"/>
      <c r="E36" s="32">
        <v>1000000</v>
      </c>
      <c r="F36" s="32">
        <f t="shared" si="0"/>
        <v>116702000</v>
      </c>
    </row>
    <row r="37" spans="2:6" x14ac:dyDescent="0.35">
      <c r="C37" t="s">
        <v>132</v>
      </c>
      <c r="D37" s="35"/>
      <c r="E37" s="32">
        <v>1225000</v>
      </c>
      <c r="F37" s="32">
        <f t="shared" si="0"/>
        <v>115477000</v>
      </c>
    </row>
    <row r="38" spans="2:6" x14ac:dyDescent="0.35">
      <c r="C38" t="s">
        <v>104</v>
      </c>
      <c r="D38" s="35">
        <v>20300000</v>
      </c>
      <c r="E38" s="32"/>
      <c r="F38" s="32">
        <f t="shared" si="0"/>
        <v>135777000</v>
      </c>
    </row>
    <row r="39" spans="2:6" x14ac:dyDescent="0.35">
      <c r="C39" t="s">
        <v>133</v>
      </c>
      <c r="D39" s="35">
        <v>2250000</v>
      </c>
      <c r="E39" s="32"/>
      <c r="F39" s="32">
        <f t="shared" si="0"/>
        <v>138027000</v>
      </c>
    </row>
    <row r="40" spans="2:6" x14ac:dyDescent="0.35">
      <c r="C40" t="s">
        <v>134</v>
      </c>
      <c r="D40" s="35">
        <v>2000000</v>
      </c>
      <c r="E40" s="32"/>
      <c r="F40" s="32">
        <f t="shared" si="0"/>
        <v>140027000</v>
      </c>
    </row>
    <row r="41" spans="2:6" x14ac:dyDescent="0.35">
      <c r="C41" t="s">
        <v>105</v>
      </c>
      <c r="D41" s="35"/>
      <c r="E41" s="32">
        <v>1000000</v>
      </c>
      <c r="F41" s="32">
        <f t="shared" si="0"/>
        <v>139027000</v>
      </c>
    </row>
    <row r="42" spans="2:6" x14ac:dyDescent="0.35">
      <c r="C42" t="s">
        <v>137</v>
      </c>
      <c r="D42" s="35"/>
      <c r="E42" s="32">
        <v>750000</v>
      </c>
      <c r="F42" s="32">
        <f t="shared" si="0"/>
        <v>138277000</v>
      </c>
    </row>
    <row r="43" spans="2:6" x14ac:dyDescent="0.35">
      <c r="C43" t="s">
        <v>138</v>
      </c>
      <c r="D43" s="35"/>
      <c r="E43" s="32">
        <v>1200000</v>
      </c>
      <c r="F43" s="32">
        <f t="shared" si="0"/>
        <v>137077000</v>
      </c>
    </row>
    <row r="44" spans="2:6" x14ac:dyDescent="0.35">
      <c r="B44" s="33">
        <v>39414</v>
      </c>
      <c r="C44" t="s">
        <v>139</v>
      </c>
      <c r="D44" s="35"/>
      <c r="E44" s="32">
        <v>1500000</v>
      </c>
      <c r="F44" s="32">
        <f t="shared" si="0"/>
        <v>135577000</v>
      </c>
    </row>
    <row r="45" spans="2:6" x14ac:dyDescent="0.35">
      <c r="C45" t="s">
        <v>140</v>
      </c>
      <c r="D45" s="35"/>
      <c r="E45" s="32">
        <v>1500000</v>
      </c>
      <c r="F45" s="32">
        <f t="shared" si="0"/>
        <v>134077000</v>
      </c>
    </row>
    <row r="46" spans="2:6" x14ac:dyDescent="0.35">
      <c r="C46" t="s">
        <v>141</v>
      </c>
      <c r="D46" s="35"/>
      <c r="E46" s="32">
        <v>500000</v>
      </c>
      <c r="F46" s="32">
        <f t="shared" si="0"/>
        <v>133577000</v>
      </c>
    </row>
    <row r="47" spans="2:6" x14ac:dyDescent="0.35">
      <c r="C47" t="s">
        <v>142</v>
      </c>
      <c r="D47" s="35"/>
      <c r="E47" s="32">
        <v>400000</v>
      </c>
      <c r="F47" s="32">
        <f t="shared" si="0"/>
        <v>133177000</v>
      </c>
    </row>
    <row r="48" spans="2:6" x14ac:dyDescent="0.35">
      <c r="C48" t="s">
        <v>143</v>
      </c>
      <c r="D48" s="35"/>
      <c r="E48" s="32">
        <v>1600000</v>
      </c>
      <c r="F48" s="32">
        <f t="shared" si="0"/>
        <v>131577000</v>
      </c>
    </row>
    <row r="49" spans="2:6" x14ac:dyDescent="0.35">
      <c r="D49" s="35"/>
      <c r="E49" s="32"/>
      <c r="F49" s="32">
        <f t="shared" si="0"/>
        <v>131577000</v>
      </c>
    </row>
    <row r="50" spans="2:6" x14ac:dyDescent="0.35">
      <c r="C50" t="s">
        <v>144</v>
      </c>
      <c r="D50" s="35"/>
      <c r="E50" s="32">
        <f>1500000+1950000</f>
        <v>3450000</v>
      </c>
      <c r="F50" s="32">
        <f t="shared" si="0"/>
        <v>128127000</v>
      </c>
    </row>
    <row r="51" spans="2:6" x14ac:dyDescent="0.35">
      <c r="C51" t="s">
        <v>145</v>
      </c>
      <c r="D51" s="35"/>
      <c r="E51" s="32">
        <v>600000</v>
      </c>
      <c r="F51" s="32">
        <f t="shared" si="0"/>
        <v>127527000</v>
      </c>
    </row>
    <row r="52" spans="2:6" x14ac:dyDescent="0.35">
      <c r="C52" t="s">
        <v>146</v>
      </c>
      <c r="D52" s="35"/>
      <c r="E52" s="32">
        <v>1300000</v>
      </c>
      <c r="F52" s="32">
        <f t="shared" si="0"/>
        <v>126227000</v>
      </c>
    </row>
    <row r="53" spans="2:6" x14ac:dyDescent="0.35">
      <c r="C53" t="s">
        <v>147</v>
      </c>
      <c r="D53" s="35"/>
      <c r="E53" s="32">
        <v>25994000</v>
      </c>
      <c r="F53" s="32">
        <f t="shared" si="0"/>
        <v>100233000</v>
      </c>
    </row>
    <row r="54" spans="2:6" x14ac:dyDescent="0.35">
      <c r="C54" t="s">
        <v>148</v>
      </c>
      <c r="D54" s="35"/>
      <c r="E54" s="32">
        <v>7500</v>
      </c>
      <c r="F54" s="32">
        <f t="shared" si="0"/>
        <v>100225500</v>
      </c>
    </row>
    <row r="55" spans="2:6" x14ac:dyDescent="0.35">
      <c r="C55" t="s">
        <v>149</v>
      </c>
      <c r="D55" s="35"/>
      <c r="E55" s="32">
        <v>53000</v>
      </c>
      <c r="F55" s="32">
        <f t="shared" si="0"/>
        <v>100172500</v>
      </c>
    </row>
    <row r="56" spans="2:6" x14ac:dyDescent="0.35">
      <c r="C56" t="s">
        <v>150</v>
      </c>
      <c r="D56" s="35"/>
      <c r="E56" s="32">
        <v>10000</v>
      </c>
      <c r="F56" s="32">
        <f t="shared" si="0"/>
        <v>100162500</v>
      </c>
    </row>
    <row r="57" spans="2:6" x14ac:dyDescent="0.35">
      <c r="B57" s="33">
        <v>39415</v>
      </c>
      <c r="C57" t="s">
        <v>151</v>
      </c>
      <c r="D57" s="35"/>
      <c r="E57" s="32">
        <v>1000000</v>
      </c>
      <c r="F57" s="32">
        <f t="shared" si="0"/>
        <v>99162500</v>
      </c>
    </row>
    <row r="58" spans="2:6" x14ac:dyDescent="0.35">
      <c r="C58" t="s">
        <v>152</v>
      </c>
      <c r="D58" s="35"/>
      <c r="E58" s="32">
        <v>100000</v>
      </c>
      <c r="F58" s="32">
        <f t="shared" si="0"/>
        <v>99062500</v>
      </c>
    </row>
    <row r="59" spans="2:6" x14ac:dyDescent="0.35">
      <c r="C59" t="s">
        <v>153</v>
      </c>
      <c r="D59" s="35">
        <v>50000000</v>
      </c>
      <c r="E59" s="32"/>
      <c r="F59" s="32">
        <f t="shared" si="0"/>
        <v>149062500</v>
      </c>
    </row>
    <row r="60" spans="2:6" x14ac:dyDescent="0.35">
      <c r="C60" t="s">
        <v>154</v>
      </c>
      <c r="D60" s="35"/>
      <c r="E60" s="32">
        <v>2600000</v>
      </c>
      <c r="F60" s="32">
        <f t="shared" si="0"/>
        <v>146462500</v>
      </c>
    </row>
    <row r="61" spans="2:6" x14ac:dyDescent="0.35">
      <c r="C61" t="s">
        <v>155</v>
      </c>
      <c r="D61" s="35"/>
      <c r="E61" s="32">
        <v>3000000</v>
      </c>
      <c r="F61" s="32">
        <f t="shared" si="0"/>
        <v>143462500</v>
      </c>
    </row>
    <row r="62" spans="2:6" x14ac:dyDescent="0.35">
      <c r="C62" t="s">
        <v>156</v>
      </c>
      <c r="D62" s="35"/>
      <c r="E62" s="32">
        <v>660000</v>
      </c>
      <c r="F62" s="32">
        <f t="shared" si="0"/>
        <v>142802500</v>
      </c>
    </row>
    <row r="63" spans="2:6" x14ac:dyDescent="0.35">
      <c r="C63" t="s">
        <v>157</v>
      </c>
      <c r="D63" s="35"/>
      <c r="E63" s="32">
        <v>4200000</v>
      </c>
      <c r="F63" s="32">
        <f t="shared" si="0"/>
        <v>138602500</v>
      </c>
    </row>
    <row r="64" spans="2:6" x14ac:dyDescent="0.35">
      <c r="C64" t="s">
        <v>158</v>
      </c>
      <c r="D64" s="35"/>
      <c r="E64" s="32">
        <v>3500000</v>
      </c>
      <c r="F64" s="32">
        <f t="shared" si="0"/>
        <v>135102500</v>
      </c>
    </row>
    <row r="65" spans="3:17" x14ac:dyDescent="0.35">
      <c r="C65" t="s">
        <v>159</v>
      </c>
      <c r="D65" s="35"/>
      <c r="E65" s="32">
        <v>4200000</v>
      </c>
      <c r="F65" s="32">
        <f t="shared" si="0"/>
        <v>130902500</v>
      </c>
    </row>
    <row r="66" spans="3:17" x14ac:dyDescent="0.35">
      <c r="C66" t="s">
        <v>160</v>
      </c>
      <c r="D66" s="35"/>
      <c r="E66" s="32">
        <v>3000000</v>
      </c>
      <c r="F66" s="32">
        <f t="shared" si="0"/>
        <v>127902500</v>
      </c>
    </row>
    <row r="67" spans="3:17" x14ac:dyDescent="0.35">
      <c r="C67" t="s">
        <v>161</v>
      </c>
      <c r="D67" s="35"/>
      <c r="E67" s="32">
        <v>4200000</v>
      </c>
      <c r="F67" s="32">
        <f t="shared" si="0"/>
        <v>123702500</v>
      </c>
    </row>
    <row r="68" spans="3:17" x14ac:dyDescent="0.35">
      <c r="C68" t="s">
        <v>162</v>
      </c>
      <c r="D68" s="35"/>
      <c r="E68" s="32">
        <v>2750000</v>
      </c>
      <c r="F68" s="32">
        <f t="shared" si="0"/>
        <v>120952500</v>
      </c>
    </row>
    <row r="69" spans="3:17" x14ac:dyDescent="0.35">
      <c r="C69" t="s">
        <v>163</v>
      </c>
      <c r="D69" s="35"/>
      <c r="E69" s="32">
        <v>2500000</v>
      </c>
      <c r="F69" s="32">
        <f t="shared" si="0"/>
        <v>118452500</v>
      </c>
    </row>
    <row r="70" spans="3:17" x14ac:dyDescent="0.35">
      <c r="C70" t="s">
        <v>164</v>
      </c>
      <c r="D70" s="35"/>
      <c r="E70" s="32">
        <v>2500000</v>
      </c>
      <c r="F70" s="32">
        <f t="shared" ref="F70:F133" si="1">+F69+D70-E70</f>
        <v>115952500</v>
      </c>
    </row>
    <row r="71" spans="3:17" x14ac:dyDescent="0.35">
      <c r="C71" t="s">
        <v>165</v>
      </c>
      <c r="D71" s="35"/>
      <c r="E71" s="32">
        <v>2500000</v>
      </c>
      <c r="F71" s="32">
        <f t="shared" si="1"/>
        <v>113452500</v>
      </c>
    </row>
    <row r="72" spans="3:17" x14ac:dyDescent="0.35">
      <c r="C72" t="s">
        <v>166</v>
      </c>
      <c r="D72" s="35"/>
      <c r="E72" s="32">
        <v>1000000</v>
      </c>
      <c r="F72" s="32">
        <f t="shared" si="1"/>
        <v>112452500</v>
      </c>
    </row>
    <row r="73" spans="3:17" x14ac:dyDescent="0.35">
      <c r="C73" t="s">
        <v>167</v>
      </c>
      <c r="D73" s="35"/>
      <c r="E73" s="32">
        <v>1000000</v>
      </c>
      <c r="F73" s="32">
        <f t="shared" si="1"/>
        <v>111452500</v>
      </c>
    </row>
    <row r="74" spans="3:17" x14ac:dyDescent="0.35">
      <c r="C74" t="s">
        <v>168</v>
      </c>
      <c r="D74" s="35"/>
      <c r="E74" s="32">
        <v>600000</v>
      </c>
      <c r="F74" s="32">
        <f t="shared" si="1"/>
        <v>110852500</v>
      </c>
      <c r="I74">
        <v>1</v>
      </c>
      <c r="J74" t="s">
        <v>155</v>
      </c>
      <c r="K74" s="35"/>
      <c r="L74" s="32">
        <v>3000000</v>
      </c>
      <c r="N74">
        <v>1</v>
      </c>
      <c r="O74" t="s">
        <v>157</v>
      </c>
      <c r="P74" s="35"/>
      <c r="Q74" s="32">
        <v>4200000</v>
      </c>
    </row>
    <row r="75" spans="3:17" x14ac:dyDescent="0.35">
      <c r="C75" t="s">
        <v>120</v>
      </c>
      <c r="D75" s="35"/>
      <c r="E75" s="32">
        <v>1000000</v>
      </c>
      <c r="F75" s="32">
        <f t="shared" si="1"/>
        <v>109852500</v>
      </c>
      <c r="J75" t="s">
        <v>156</v>
      </c>
      <c r="K75" s="35"/>
      <c r="L75" s="32">
        <v>660000</v>
      </c>
      <c r="N75">
        <v>2</v>
      </c>
      <c r="O75" t="s">
        <v>158</v>
      </c>
      <c r="P75" s="35"/>
      <c r="Q75" s="32">
        <v>3500000</v>
      </c>
    </row>
    <row r="76" spans="3:17" x14ac:dyDescent="0.35">
      <c r="C76" t="s">
        <v>169</v>
      </c>
      <c r="D76" s="35"/>
      <c r="E76" s="32">
        <v>1000000</v>
      </c>
      <c r="F76" s="32">
        <f t="shared" si="1"/>
        <v>108852500</v>
      </c>
      <c r="I76">
        <v>2</v>
      </c>
      <c r="J76" t="s">
        <v>162</v>
      </c>
      <c r="K76" s="35"/>
      <c r="L76" s="32">
        <v>2750000</v>
      </c>
      <c r="N76">
        <v>3</v>
      </c>
      <c r="O76" t="s">
        <v>159</v>
      </c>
      <c r="P76" s="35"/>
      <c r="Q76" s="32">
        <v>4200000</v>
      </c>
    </row>
    <row r="77" spans="3:17" x14ac:dyDescent="0.35">
      <c r="C77" t="s">
        <v>170</v>
      </c>
      <c r="D77" s="35"/>
      <c r="E77" s="32">
        <v>300000</v>
      </c>
      <c r="F77" s="32">
        <f t="shared" si="1"/>
        <v>108552500</v>
      </c>
      <c r="I77">
        <v>3</v>
      </c>
      <c r="J77" t="s">
        <v>163</v>
      </c>
      <c r="K77" s="35"/>
      <c r="L77" s="32">
        <v>4000000</v>
      </c>
      <c r="N77">
        <v>4</v>
      </c>
      <c r="O77" t="s">
        <v>161</v>
      </c>
      <c r="P77" s="35"/>
      <c r="Q77" s="32">
        <v>4200000</v>
      </c>
    </row>
    <row r="78" spans="3:17" x14ac:dyDescent="0.35">
      <c r="C78" s="40" t="s">
        <v>171</v>
      </c>
      <c r="D78" s="35"/>
      <c r="E78" s="36">
        <v>3000000</v>
      </c>
      <c r="F78" s="32">
        <f t="shared" si="1"/>
        <v>105552500</v>
      </c>
      <c r="I78">
        <v>4</v>
      </c>
      <c r="J78" t="s">
        <v>164</v>
      </c>
      <c r="K78" s="35"/>
      <c r="L78" s="32">
        <v>3500000</v>
      </c>
      <c r="N78">
        <v>5</v>
      </c>
      <c r="O78" s="45" t="s">
        <v>171</v>
      </c>
      <c r="P78" s="35"/>
      <c r="Q78" s="36">
        <v>3000000</v>
      </c>
    </row>
    <row r="79" spans="3:17" x14ac:dyDescent="0.35">
      <c r="C79" s="41" t="s">
        <v>172</v>
      </c>
      <c r="D79" s="35"/>
      <c r="E79" s="37">
        <v>2000000</v>
      </c>
      <c r="F79" s="32">
        <f t="shared" si="1"/>
        <v>103552500</v>
      </c>
      <c r="I79">
        <v>5</v>
      </c>
      <c r="J79" t="s">
        <v>165</v>
      </c>
      <c r="K79" s="35"/>
      <c r="L79" s="32">
        <v>2500000</v>
      </c>
      <c r="N79">
        <v>6</v>
      </c>
      <c r="O79" s="45" t="s">
        <v>174</v>
      </c>
      <c r="P79" s="35"/>
      <c r="Q79" s="38">
        <v>3000000</v>
      </c>
    </row>
    <row r="80" spans="3:17" x14ac:dyDescent="0.35">
      <c r="C80" s="40" t="s">
        <v>111</v>
      </c>
      <c r="D80" s="35"/>
      <c r="E80" s="36">
        <v>1000000</v>
      </c>
      <c r="F80" s="32">
        <f t="shared" si="1"/>
        <v>102552500</v>
      </c>
      <c r="I80">
        <v>6</v>
      </c>
      <c r="J80" t="s">
        <v>166</v>
      </c>
      <c r="K80" s="35"/>
      <c r="L80" s="32">
        <v>1000000</v>
      </c>
      <c r="N80">
        <v>7</v>
      </c>
      <c r="O80" s="45" t="s">
        <v>179</v>
      </c>
      <c r="P80" s="35"/>
      <c r="Q80" s="32">
        <v>3000000</v>
      </c>
    </row>
    <row r="81" spans="3:17" x14ac:dyDescent="0.35">
      <c r="C81" s="41" t="s">
        <v>173</v>
      </c>
      <c r="D81" s="35"/>
      <c r="E81" s="37">
        <v>1500000</v>
      </c>
      <c r="F81" s="32">
        <f t="shared" si="1"/>
        <v>101052500</v>
      </c>
      <c r="I81">
        <v>7</v>
      </c>
      <c r="J81" t="s">
        <v>167</v>
      </c>
      <c r="K81" s="35"/>
      <c r="L81" s="32">
        <v>1000000</v>
      </c>
      <c r="N81">
        <v>8</v>
      </c>
      <c r="O81" s="45" t="s">
        <v>184</v>
      </c>
      <c r="P81" s="35"/>
      <c r="Q81" s="32">
        <v>4200000</v>
      </c>
    </row>
    <row r="82" spans="3:17" x14ac:dyDescent="0.35">
      <c r="C82" s="42" t="s">
        <v>174</v>
      </c>
      <c r="D82" s="35"/>
      <c r="E82" s="38">
        <v>3000000</v>
      </c>
      <c r="F82" s="32">
        <f t="shared" si="1"/>
        <v>98052500</v>
      </c>
      <c r="I82">
        <v>8</v>
      </c>
      <c r="J82" t="s">
        <v>168</v>
      </c>
      <c r="K82" s="35"/>
      <c r="L82" s="32">
        <v>600000</v>
      </c>
      <c r="N82">
        <v>9</v>
      </c>
      <c r="O82" s="45" t="s">
        <v>121</v>
      </c>
    </row>
    <row r="83" spans="3:17" x14ac:dyDescent="0.35">
      <c r="C83" s="43" t="s">
        <v>175</v>
      </c>
      <c r="D83" s="35"/>
      <c r="E83" s="39">
        <v>1200000</v>
      </c>
      <c r="F83" s="32">
        <f t="shared" si="1"/>
        <v>96852500</v>
      </c>
      <c r="I83">
        <v>9</v>
      </c>
      <c r="J83" t="s">
        <v>120</v>
      </c>
      <c r="K83" s="35"/>
      <c r="L83" s="32">
        <v>1000000</v>
      </c>
      <c r="N83">
        <v>10</v>
      </c>
      <c r="O83" s="45" t="s">
        <v>225</v>
      </c>
    </row>
    <row r="84" spans="3:17" x14ac:dyDescent="0.35">
      <c r="C84" s="44" t="s">
        <v>176</v>
      </c>
      <c r="D84" s="35"/>
      <c r="E84" s="32">
        <v>300000</v>
      </c>
      <c r="F84" s="32">
        <f t="shared" si="1"/>
        <v>96552500</v>
      </c>
      <c r="I84">
        <v>10</v>
      </c>
      <c r="J84" t="s">
        <v>169</v>
      </c>
      <c r="K84" s="35"/>
      <c r="L84" s="32">
        <v>1000000</v>
      </c>
      <c r="N84">
        <v>11</v>
      </c>
      <c r="O84" s="45" t="s">
        <v>223</v>
      </c>
      <c r="Q84" s="32">
        <v>3500000</v>
      </c>
    </row>
    <row r="85" spans="3:17" x14ac:dyDescent="0.35">
      <c r="C85" s="44" t="s">
        <v>177</v>
      </c>
      <c r="D85" s="35"/>
      <c r="E85" s="32">
        <f>25000+17000</f>
        <v>42000</v>
      </c>
      <c r="F85" s="32">
        <f t="shared" si="1"/>
        <v>96510500</v>
      </c>
      <c r="J85" t="s">
        <v>170</v>
      </c>
      <c r="K85" s="35"/>
      <c r="L85" s="32">
        <v>300000</v>
      </c>
      <c r="N85">
        <v>12</v>
      </c>
      <c r="O85" s="45" t="s">
        <v>221</v>
      </c>
      <c r="Q85" s="32">
        <v>3000000</v>
      </c>
    </row>
    <row r="86" spans="3:17" x14ac:dyDescent="0.35">
      <c r="C86" s="44" t="s">
        <v>151</v>
      </c>
      <c r="D86" s="35"/>
      <c r="E86" s="32">
        <v>1100000</v>
      </c>
      <c r="F86" s="32">
        <f t="shared" si="1"/>
        <v>95410500</v>
      </c>
      <c r="I86">
        <v>11</v>
      </c>
      <c r="J86" s="46" t="s">
        <v>172</v>
      </c>
      <c r="K86" s="35"/>
      <c r="L86" s="37">
        <v>2000000</v>
      </c>
      <c r="O86" s="45"/>
      <c r="Q86" s="32"/>
    </row>
    <row r="87" spans="3:17" x14ac:dyDescent="0.35">
      <c r="C87" s="44" t="s">
        <v>105</v>
      </c>
      <c r="D87" s="35"/>
      <c r="E87" s="32">
        <v>1350000</v>
      </c>
      <c r="F87" s="32">
        <f t="shared" si="1"/>
        <v>94060500</v>
      </c>
      <c r="I87">
        <v>12</v>
      </c>
      <c r="J87" s="45" t="s">
        <v>111</v>
      </c>
      <c r="K87" s="35"/>
      <c r="L87" s="36">
        <v>1000000</v>
      </c>
      <c r="O87" s="45"/>
      <c r="Q87" s="32"/>
    </row>
    <row r="88" spans="3:17" x14ac:dyDescent="0.35">
      <c r="C88" s="44" t="s">
        <v>221</v>
      </c>
      <c r="D88" s="35"/>
      <c r="E88" s="32">
        <v>3000000</v>
      </c>
      <c r="F88" s="32">
        <f t="shared" si="1"/>
        <v>91060500</v>
      </c>
      <c r="I88">
        <v>13</v>
      </c>
      <c r="J88" s="46" t="s">
        <v>173</v>
      </c>
      <c r="K88" s="35"/>
      <c r="L88" s="37">
        <v>1500000</v>
      </c>
    </row>
    <row r="89" spans="3:17" x14ac:dyDescent="0.35">
      <c r="C89" s="44" t="s">
        <v>178</v>
      </c>
      <c r="D89" s="35"/>
      <c r="E89" s="32">
        <v>300000</v>
      </c>
      <c r="F89" s="32">
        <f t="shared" si="1"/>
        <v>90760500</v>
      </c>
      <c r="I89">
        <v>14</v>
      </c>
      <c r="J89" s="45" t="s">
        <v>175</v>
      </c>
      <c r="K89" s="35"/>
      <c r="L89" s="39">
        <v>1200000</v>
      </c>
      <c r="N89">
        <v>13</v>
      </c>
      <c r="O89" t="s">
        <v>160</v>
      </c>
      <c r="P89" s="35"/>
      <c r="Q89" s="32">
        <v>3000000</v>
      </c>
    </row>
    <row r="90" spans="3:17" x14ac:dyDescent="0.35">
      <c r="C90" s="44" t="s">
        <v>179</v>
      </c>
      <c r="D90" s="35"/>
      <c r="E90" s="32">
        <v>3000000</v>
      </c>
      <c r="F90" s="32">
        <f t="shared" si="1"/>
        <v>87760500</v>
      </c>
      <c r="I90">
        <v>15</v>
      </c>
      <c r="J90" s="45" t="s">
        <v>105</v>
      </c>
      <c r="K90" s="35"/>
      <c r="L90" s="32">
        <v>1350000</v>
      </c>
      <c r="N90">
        <v>14</v>
      </c>
      <c r="O90" s="45" t="s">
        <v>185</v>
      </c>
      <c r="P90" s="35"/>
      <c r="Q90" s="32">
        <v>5000000</v>
      </c>
    </row>
    <row r="91" spans="3:17" x14ac:dyDescent="0.35">
      <c r="C91" s="44" t="s">
        <v>180</v>
      </c>
      <c r="D91" s="35"/>
      <c r="E91" s="32">
        <v>300000</v>
      </c>
      <c r="F91" s="32">
        <f t="shared" si="1"/>
        <v>87460500</v>
      </c>
      <c r="I91">
        <v>16</v>
      </c>
      <c r="J91" s="45" t="s">
        <v>178</v>
      </c>
      <c r="K91" s="35"/>
      <c r="L91" s="32">
        <v>300000</v>
      </c>
    </row>
    <row r="92" spans="3:17" x14ac:dyDescent="0.35">
      <c r="C92" s="44" t="s">
        <v>181</v>
      </c>
      <c r="D92" s="35"/>
      <c r="E92" s="32">
        <v>2000000</v>
      </c>
      <c r="F92" s="32">
        <f t="shared" si="1"/>
        <v>85460500</v>
      </c>
      <c r="I92">
        <v>17</v>
      </c>
      <c r="J92" s="45" t="s">
        <v>180</v>
      </c>
      <c r="K92" s="35"/>
      <c r="L92" s="32">
        <v>300000</v>
      </c>
    </row>
    <row r="93" spans="3:17" x14ac:dyDescent="0.35">
      <c r="C93" s="44" t="s">
        <v>186</v>
      </c>
      <c r="D93" s="35"/>
      <c r="E93" s="32">
        <v>1200000</v>
      </c>
      <c r="F93" s="32">
        <f t="shared" si="1"/>
        <v>84260500</v>
      </c>
      <c r="I93">
        <v>18</v>
      </c>
      <c r="J93" s="45" t="s">
        <v>181</v>
      </c>
      <c r="K93" s="35"/>
      <c r="L93" s="32">
        <v>2000000</v>
      </c>
    </row>
    <row r="94" spans="3:17" x14ac:dyDescent="0.35">
      <c r="C94" s="44" t="s">
        <v>183</v>
      </c>
      <c r="D94" s="35"/>
      <c r="E94" s="32">
        <v>2000000</v>
      </c>
      <c r="F94" s="32">
        <f t="shared" si="1"/>
        <v>82260500</v>
      </c>
      <c r="I94">
        <v>19</v>
      </c>
      <c r="J94" s="45" t="s">
        <v>203</v>
      </c>
      <c r="K94" s="35"/>
      <c r="L94" s="32">
        <v>2000000</v>
      </c>
    </row>
    <row r="95" spans="3:17" x14ac:dyDescent="0.35">
      <c r="C95" s="44" t="s">
        <v>184</v>
      </c>
      <c r="D95" s="35"/>
      <c r="E95" s="32">
        <v>4200000</v>
      </c>
      <c r="F95" s="32">
        <f t="shared" si="1"/>
        <v>78060500</v>
      </c>
      <c r="I95">
        <v>20</v>
      </c>
      <c r="J95" s="45" t="s">
        <v>183</v>
      </c>
      <c r="K95" s="35"/>
      <c r="L95" s="32">
        <v>2000000</v>
      </c>
    </row>
    <row r="96" spans="3:17" x14ac:dyDescent="0.35">
      <c r="C96" s="44" t="s">
        <v>185</v>
      </c>
      <c r="D96" s="35"/>
      <c r="E96" s="32">
        <v>5000000</v>
      </c>
      <c r="F96" s="32">
        <f t="shared" si="1"/>
        <v>73060500</v>
      </c>
      <c r="I96">
        <v>21</v>
      </c>
      <c r="J96" s="45" t="s">
        <v>188</v>
      </c>
      <c r="K96" s="35"/>
      <c r="L96" s="32">
        <v>2000000</v>
      </c>
    </row>
    <row r="97" spans="3:17" x14ac:dyDescent="0.35">
      <c r="C97" s="44" t="s">
        <v>187</v>
      </c>
      <c r="D97" s="35"/>
      <c r="E97" s="32">
        <v>1300000</v>
      </c>
      <c r="F97" s="32">
        <f t="shared" si="1"/>
        <v>71760500</v>
      </c>
      <c r="I97">
        <v>22</v>
      </c>
      <c r="J97" s="45" t="s">
        <v>189</v>
      </c>
      <c r="K97" s="35"/>
      <c r="L97" s="32">
        <v>4500000</v>
      </c>
    </row>
    <row r="98" spans="3:17" x14ac:dyDescent="0.35">
      <c r="C98" s="44"/>
      <c r="D98" s="35"/>
      <c r="E98" s="32"/>
      <c r="F98" s="32">
        <f t="shared" si="1"/>
        <v>71760500</v>
      </c>
      <c r="I98">
        <v>23</v>
      </c>
      <c r="J98" s="45" t="s">
        <v>197</v>
      </c>
      <c r="K98" s="35"/>
      <c r="L98" s="32">
        <v>1000000</v>
      </c>
    </row>
    <row r="99" spans="3:17" x14ac:dyDescent="0.35">
      <c r="C99" s="44" t="s">
        <v>188</v>
      </c>
      <c r="D99" s="35"/>
      <c r="E99" s="32">
        <v>2000000</v>
      </c>
      <c r="F99" s="32">
        <f t="shared" si="1"/>
        <v>69760500</v>
      </c>
      <c r="I99">
        <v>24</v>
      </c>
      <c r="J99" s="45" t="s">
        <v>198</v>
      </c>
      <c r="K99" s="35"/>
      <c r="L99" s="32">
        <v>500000</v>
      </c>
    </row>
    <row r="100" spans="3:17" x14ac:dyDescent="0.35">
      <c r="C100" s="44" t="s">
        <v>189</v>
      </c>
      <c r="D100" s="35"/>
      <c r="E100" s="32">
        <v>4500000</v>
      </c>
      <c r="F100" s="32">
        <f t="shared" si="1"/>
        <v>65260500</v>
      </c>
      <c r="I100">
        <v>25</v>
      </c>
      <c r="J100" s="45" t="s">
        <v>182</v>
      </c>
      <c r="K100" s="35" t="s">
        <v>226</v>
      </c>
      <c r="L100" s="32">
        <v>400000</v>
      </c>
    </row>
    <row r="101" spans="3:17" x14ac:dyDescent="0.35">
      <c r="C101" s="44" t="s">
        <v>190</v>
      </c>
      <c r="D101" s="35"/>
      <c r="E101" s="32">
        <v>350000</v>
      </c>
      <c r="F101" s="32">
        <f t="shared" si="1"/>
        <v>64910500</v>
      </c>
      <c r="I101">
        <v>26</v>
      </c>
      <c r="J101" s="45"/>
      <c r="K101" s="35" t="s">
        <v>227</v>
      </c>
      <c r="L101" s="32">
        <v>400000</v>
      </c>
    </row>
    <row r="102" spans="3:17" x14ac:dyDescent="0.35">
      <c r="C102" s="44" t="s">
        <v>191</v>
      </c>
      <c r="D102" s="35"/>
      <c r="E102" s="32">
        <v>200000</v>
      </c>
      <c r="F102" s="32">
        <f t="shared" si="1"/>
        <v>64710500</v>
      </c>
      <c r="I102">
        <v>27</v>
      </c>
      <c r="J102" s="45"/>
      <c r="K102" s="35" t="s">
        <v>228</v>
      </c>
      <c r="L102" s="32">
        <v>400000</v>
      </c>
    </row>
    <row r="103" spans="3:17" x14ac:dyDescent="0.35">
      <c r="C103" s="44" t="s">
        <v>192</v>
      </c>
      <c r="D103" s="35"/>
      <c r="E103" s="32">
        <f>12500+25000+22500</f>
        <v>60000</v>
      </c>
      <c r="F103" s="32">
        <f t="shared" si="1"/>
        <v>64650500</v>
      </c>
      <c r="I103">
        <v>28</v>
      </c>
      <c r="J103" s="45"/>
      <c r="K103" s="35" t="s">
        <v>228</v>
      </c>
      <c r="L103" s="32">
        <v>400000</v>
      </c>
    </row>
    <row r="104" spans="3:17" x14ac:dyDescent="0.35">
      <c r="C104" s="44" t="s">
        <v>193</v>
      </c>
      <c r="D104" s="35"/>
      <c r="E104" s="32">
        <f>164700+18000+10500</f>
        <v>193200</v>
      </c>
      <c r="F104" s="32">
        <f t="shared" si="1"/>
        <v>64457300</v>
      </c>
      <c r="I104">
        <v>29</v>
      </c>
      <c r="J104" s="45" t="s">
        <v>229</v>
      </c>
      <c r="K104" s="35"/>
      <c r="L104" s="32">
        <v>600000</v>
      </c>
    </row>
    <row r="105" spans="3:17" x14ac:dyDescent="0.35">
      <c r="C105" s="44" t="s">
        <v>194</v>
      </c>
      <c r="D105" s="35"/>
      <c r="E105" s="32">
        <v>470000</v>
      </c>
      <c r="F105" s="32">
        <f t="shared" si="1"/>
        <v>63987300</v>
      </c>
      <c r="I105">
        <v>30</v>
      </c>
      <c r="J105" s="45" t="s">
        <v>230</v>
      </c>
      <c r="K105" s="35"/>
      <c r="L105" s="32"/>
    </row>
    <row r="106" spans="3:17" x14ac:dyDescent="0.35">
      <c r="C106" s="44" t="s">
        <v>195</v>
      </c>
      <c r="D106" s="35"/>
      <c r="E106" s="32">
        <v>5000000</v>
      </c>
      <c r="F106" s="32">
        <f t="shared" si="1"/>
        <v>58987300</v>
      </c>
      <c r="J106" s="45" t="s">
        <v>231</v>
      </c>
      <c r="K106" s="35"/>
      <c r="L106" s="32">
        <v>3500000</v>
      </c>
    </row>
    <row r="107" spans="3:17" x14ac:dyDescent="0.35">
      <c r="C107" s="44" t="s">
        <v>196</v>
      </c>
      <c r="D107" s="35">
        <v>3000000</v>
      </c>
      <c r="E107" s="32"/>
      <c r="F107" s="32">
        <f t="shared" si="1"/>
        <v>61987300</v>
      </c>
      <c r="J107" s="45"/>
      <c r="K107" s="35"/>
      <c r="L107" s="32"/>
    </row>
    <row r="108" spans="3:17" x14ac:dyDescent="0.35">
      <c r="C108" s="44" t="s">
        <v>195</v>
      </c>
      <c r="D108" s="35"/>
      <c r="E108" s="32">
        <v>3000000</v>
      </c>
      <c r="F108" s="32">
        <f t="shared" si="1"/>
        <v>58987300</v>
      </c>
      <c r="J108" s="45"/>
      <c r="K108" s="35"/>
      <c r="L108" s="32">
        <f>SUM(L74:L107)</f>
        <v>48660000</v>
      </c>
      <c r="Q108" s="34">
        <f>SUM(Q74:Q107)</f>
        <v>43800000</v>
      </c>
    </row>
    <row r="109" spans="3:17" x14ac:dyDescent="0.35">
      <c r="C109" s="44"/>
      <c r="D109" s="35"/>
      <c r="E109" s="32"/>
      <c r="F109" s="32">
        <f t="shared" si="1"/>
        <v>58987300</v>
      </c>
      <c r="J109" s="45"/>
      <c r="K109" s="35"/>
      <c r="L109" s="32"/>
    </row>
    <row r="110" spans="3:17" x14ac:dyDescent="0.35">
      <c r="C110" s="44"/>
      <c r="D110" s="35"/>
      <c r="E110" s="32"/>
      <c r="F110" s="32">
        <f t="shared" si="1"/>
        <v>58987300</v>
      </c>
      <c r="J110" s="45"/>
      <c r="K110" s="35"/>
      <c r="L110" s="32"/>
    </row>
    <row r="111" spans="3:17" x14ac:dyDescent="0.35">
      <c r="C111" s="44"/>
      <c r="D111" s="35"/>
      <c r="E111" s="32"/>
      <c r="F111" s="32">
        <f t="shared" si="1"/>
        <v>58987300</v>
      </c>
      <c r="J111" s="45"/>
      <c r="K111" s="35"/>
      <c r="L111" s="32"/>
    </row>
    <row r="112" spans="3:17" x14ac:dyDescent="0.35">
      <c r="C112" s="44" t="s">
        <v>197</v>
      </c>
      <c r="D112" s="35"/>
      <c r="E112" s="32">
        <v>1000000</v>
      </c>
      <c r="F112" s="32">
        <f t="shared" si="1"/>
        <v>57987300</v>
      </c>
      <c r="J112" s="45"/>
      <c r="K112" s="35"/>
      <c r="L112" s="32"/>
    </row>
    <row r="113" spans="3:6" x14ac:dyDescent="0.35">
      <c r="C113" s="44" t="s">
        <v>198</v>
      </c>
      <c r="D113" s="35"/>
      <c r="E113" s="32">
        <v>500000</v>
      </c>
      <c r="F113" s="32">
        <f t="shared" si="1"/>
        <v>57487300</v>
      </c>
    </row>
    <row r="114" spans="3:6" x14ac:dyDescent="0.35">
      <c r="C114" s="44" t="s">
        <v>200</v>
      </c>
      <c r="D114" s="35">
        <v>2500000</v>
      </c>
      <c r="E114" s="32"/>
      <c r="F114" s="32">
        <f t="shared" si="1"/>
        <v>59987300</v>
      </c>
    </row>
    <row r="115" spans="3:6" x14ac:dyDescent="0.35">
      <c r="C115" s="44" t="s">
        <v>201</v>
      </c>
      <c r="D115" s="35">
        <v>500000</v>
      </c>
      <c r="F115" s="32">
        <f t="shared" si="1"/>
        <v>60487300</v>
      </c>
    </row>
    <row r="116" spans="3:6" x14ac:dyDescent="0.35">
      <c r="C116" s="45" t="s">
        <v>199</v>
      </c>
      <c r="D116" s="35"/>
      <c r="E116" s="32">
        <v>200000</v>
      </c>
      <c r="F116" s="32">
        <f t="shared" si="1"/>
        <v>60287300</v>
      </c>
    </row>
    <row r="117" spans="3:6" x14ac:dyDescent="0.35">
      <c r="D117" s="35"/>
      <c r="E117" s="32"/>
      <c r="F117" s="32">
        <f t="shared" si="1"/>
        <v>60287300</v>
      </c>
    </row>
    <row r="118" spans="3:6" x14ac:dyDescent="0.35">
      <c r="C118" s="45"/>
      <c r="D118" s="35"/>
      <c r="E118" s="32"/>
      <c r="F118" s="32">
        <f t="shared" si="1"/>
        <v>60287300</v>
      </c>
    </row>
    <row r="119" spans="3:6" x14ac:dyDescent="0.35">
      <c r="C119" s="45" t="s">
        <v>202</v>
      </c>
      <c r="D119" s="35"/>
      <c r="E119" s="32">
        <v>700000</v>
      </c>
      <c r="F119" s="32">
        <f t="shared" si="1"/>
        <v>59587300</v>
      </c>
    </row>
    <row r="120" spans="3:6" x14ac:dyDescent="0.35">
      <c r="C120" s="45" t="s">
        <v>203</v>
      </c>
      <c r="D120" s="35"/>
      <c r="E120" s="32">
        <v>2000000</v>
      </c>
      <c r="F120" s="32">
        <f t="shared" si="1"/>
        <v>57587300</v>
      </c>
    </row>
    <row r="121" spans="3:6" x14ac:dyDescent="0.35">
      <c r="C121" s="45" t="s">
        <v>204</v>
      </c>
      <c r="D121" s="35"/>
      <c r="E121" s="32">
        <v>340000</v>
      </c>
      <c r="F121" s="32">
        <f t="shared" si="1"/>
        <v>57247300</v>
      </c>
    </row>
    <row r="122" spans="3:6" x14ac:dyDescent="0.35">
      <c r="C122" s="45" t="s">
        <v>205</v>
      </c>
      <c r="D122" s="35"/>
      <c r="E122" s="32">
        <v>150000</v>
      </c>
      <c r="F122" s="32">
        <f t="shared" si="1"/>
        <v>57097300</v>
      </c>
    </row>
    <row r="123" spans="3:6" x14ac:dyDescent="0.35">
      <c r="C123" s="45" t="s">
        <v>206</v>
      </c>
      <c r="D123" s="35"/>
      <c r="E123" s="32">
        <v>1199000</v>
      </c>
      <c r="F123" s="32">
        <f t="shared" si="1"/>
        <v>55898300</v>
      </c>
    </row>
    <row r="124" spans="3:6" x14ac:dyDescent="0.35">
      <c r="C124" s="45" t="s">
        <v>207</v>
      </c>
      <c r="D124" s="35"/>
      <c r="E124" s="32">
        <v>660000</v>
      </c>
      <c r="F124" s="32">
        <f t="shared" si="1"/>
        <v>55238300</v>
      </c>
    </row>
    <row r="125" spans="3:6" x14ac:dyDescent="0.35">
      <c r="C125" s="45" t="s">
        <v>208</v>
      </c>
      <c r="D125" s="35"/>
      <c r="E125" s="32">
        <v>425000</v>
      </c>
      <c r="F125" s="32">
        <f t="shared" si="1"/>
        <v>54813300</v>
      </c>
    </row>
    <row r="126" spans="3:6" x14ac:dyDescent="0.35">
      <c r="C126" s="45" t="s">
        <v>209</v>
      </c>
      <c r="D126" s="35"/>
      <c r="E126" s="32">
        <v>400000</v>
      </c>
      <c r="F126" s="32">
        <f t="shared" si="1"/>
        <v>54413300</v>
      </c>
    </row>
    <row r="127" spans="3:6" x14ac:dyDescent="0.35">
      <c r="C127" s="45" t="s">
        <v>210</v>
      </c>
      <c r="D127" s="35"/>
      <c r="E127" s="32">
        <f>84500+54000</f>
        <v>138500</v>
      </c>
      <c r="F127" s="32">
        <f t="shared" si="1"/>
        <v>54274800</v>
      </c>
    </row>
    <row r="128" spans="3:6" x14ac:dyDescent="0.35">
      <c r="C128" s="45" t="s">
        <v>211</v>
      </c>
      <c r="D128" s="35"/>
      <c r="E128" s="32">
        <v>150000</v>
      </c>
      <c r="F128" s="32">
        <f t="shared" si="1"/>
        <v>54124800</v>
      </c>
    </row>
    <row r="129" spans="2:8" x14ac:dyDescent="0.35">
      <c r="C129" s="45" t="s">
        <v>212</v>
      </c>
      <c r="D129" s="35"/>
      <c r="E129" s="32">
        <v>5500000</v>
      </c>
      <c r="F129" s="32">
        <f t="shared" si="1"/>
        <v>48624800</v>
      </c>
    </row>
    <row r="130" spans="2:8" x14ac:dyDescent="0.35">
      <c r="C130" s="45" t="s">
        <v>213</v>
      </c>
      <c r="D130" s="35"/>
      <c r="E130" s="32">
        <v>300000</v>
      </c>
      <c r="F130" s="32">
        <f t="shared" si="1"/>
        <v>48324800</v>
      </c>
    </row>
    <row r="131" spans="2:8" x14ac:dyDescent="0.35">
      <c r="C131" s="45" t="s">
        <v>214</v>
      </c>
      <c r="D131" s="35"/>
      <c r="E131" s="32">
        <v>6000000</v>
      </c>
      <c r="F131" s="32">
        <f t="shared" si="1"/>
        <v>42324800</v>
      </c>
    </row>
    <row r="132" spans="2:8" x14ac:dyDescent="0.35">
      <c r="C132" s="45" t="s">
        <v>220</v>
      </c>
      <c r="D132" s="35"/>
      <c r="E132" s="32">
        <v>150000</v>
      </c>
      <c r="F132" s="32">
        <f t="shared" si="1"/>
        <v>42174800</v>
      </c>
    </row>
    <row r="133" spans="2:8" x14ac:dyDescent="0.35">
      <c r="C133" s="45" t="s">
        <v>218</v>
      </c>
      <c r="D133" s="35"/>
      <c r="E133" s="32">
        <v>750000</v>
      </c>
      <c r="F133" s="32">
        <f t="shared" si="1"/>
        <v>41424800</v>
      </c>
    </row>
    <row r="134" spans="2:8" x14ac:dyDescent="0.35">
      <c r="C134" s="45" t="s">
        <v>219</v>
      </c>
      <c r="D134" s="35"/>
      <c r="E134" s="32">
        <v>20000</v>
      </c>
      <c r="F134" s="32">
        <f t="shared" ref="F134:F158" si="2">+F133+D134-E134</f>
        <v>41404800</v>
      </c>
    </row>
    <row r="135" spans="2:8" x14ac:dyDescent="0.35">
      <c r="C135" t="s">
        <v>215</v>
      </c>
      <c r="D135" s="35"/>
      <c r="E135" s="32">
        <v>103000</v>
      </c>
      <c r="F135" s="32">
        <f t="shared" si="2"/>
        <v>41301800</v>
      </c>
    </row>
    <row r="136" spans="2:8" x14ac:dyDescent="0.35">
      <c r="C136" t="s">
        <v>216</v>
      </c>
      <c r="D136" s="35"/>
      <c r="E136" s="32">
        <v>50000</v>
      </c>
      <c r="F136" s="32">
        <f t="shared" si="2"/>
        <v>41251800</v>
      </c>
    </row>
    <row r="137" spans="2:8" x14ac:dyDescent="0.35">
      <c r="C137" s="45" t="s">
        <v>222</v>
      </c>
      <c r="D137" s="35"/>
      <c r="E137" s="32">
        <v>20000000</v>
      </c>
      <c r="F137" s="32">
        <f t="shared" si="2"/>
        <v>21251800</v>
      </c>
    </row>
    <row r="138" spans="2:8" x14ac:dyDescent="0.35">
      <c r="C138" s="45" t="s">
        <v>223</v>
      </c>
      <c r="D138" s="35"/>
      <c r="E138" s="32">
        <v>3500000</v>
      </c>
      <c r="F138" s="32">
        <f t="shared" si="2"/>
        <v>17751800</v>
      </c>
    </row>
    <row r="139" spans="2:8" x14ac:dyDescent="0.35">
      <c r="C139" s="45" t="s">
        <v>224</v>
      </c>
      <c r="D139" s="35"/>
      <c r="E139" s="32">
        <v>400000</v>
      </c>
      <c r="F139" s="32">
        <f t="shared" si="2"/>
        <v>17351800</v>
      </c>
    </row>
    <row r="140" spans="2:8" x14ac:dyDescent="0.35">
      <c r="B140" s="33">
        <v>39420</v>
      </c>
      <c r="C140" s="45" t="s">
        <v>232</v>
      </c>
      <c r="D140" s="35"/>
      <c r="E140" s="32">
        <v>3000000</v>
      </c>
      <c r="F140" s="32">
        <f t="shared" si="2"/>
        <v>14351800</v>
      </c>
    </row>
    <row r="141" spans="2:8" x14ac:dyDescent="0.35">
      <c r="C141" s="45" t="s">
        <v>233</v>
      </c>
      <c r="D141" s="35"/>
      <c r="E141" s="32">
        <v>1500000</v>
      </c>
      <c r="F141" s="32">
        <f t="shared" si="2"/>
        <v>12851800</v>
      </c>
    </row>
    <row r="142" spans="2:8" x14ac:dyDescent="0.35">
      <c r="C142" s="45" t="s">
        <v>234</v>
      </c>
      <c r="D142" s="35"/>
      <c r="E142" s="32">
        <v>1500000</v>
      </c>
      <c r="F142" s="32">
        <f t="shared" si="2"/>
        <v>11351800</v>
      </c>
    </row>
    <row r="143" spans="2:8" x14ac:dyDescent="0.35">
      <c r="C143" s="45" t="s">
        <v>235</v>
      </c>
      <c r="D143" s="35"/>
      <c r="E143" s="32">
        <v>1500000</v>
      </c>
      <c r="F143" s="32">
        <f t="shared" si="2"/>
        <v>9851800</v>
      </c>
    </row>
    <row r="144" spans="2:8" x14ac:dyDescent="0.35">
      <c r="C144" s="45" t="s">
        <v>236</v>
      </c>
      <c r="D144" s="31"/>
      <c r="E144" s="32">
        <v>800000</v>
      </c>
      <c r="F144" s="32">
        <f t="shared" si="2"/>
        <v>9051800</v>
      </c>
      <c r="H144" s="34">
        <f>SUM(E140:E144)</f>
        <v>8300000</v>
      </c>
    </row>
    <row r="145" spans="2:6" x14ac:dyDescent="0.35">
      <c r="C145" s="45" t="s">
        <v>219</v>
      </c>
      <c r="D145" s="31"/>
      <c r="E145" s="32">
        <v>1817000</v>
      </c>
      <c r="F145" s="32">
        <f t="shared" si="2"/>
        <v>7234800</v>
      </c>
    </row>
    <row r="146" spans="2:6" x14ac:dyDescent="0.35">
      <c r="C146" s="45" t="s">
        <v>237</v>
      </c>
      <c r="D146" s="31"/>
      <c r="E146" s="32">
        <v>320000</v>
      </c>
      <c r="F146" s="32">
        <f t="shared" si="2"/>
        <v>6914800</v>
      </c>
    </row>
    <row r="147" spans="2:6" x14ac:dyDescent="0.35">
      <c r="C147" s="45" t="s">
        <v>238</v>
      </c>
      <c r="D147" s="31"/>
      <c r="E147" s="32">
        <v>50000</v>
      </c>
      <c r="F147" s="32">
        <f t="shared" si="2"/>
        <v>6864800</v>
      </c>
    </row>
    <row r="148" spans="2:6" x14ac:dyDescent="0.35">
      <c r="B148" s="33">
        <v>39421</v>
      </c>
      <c r="C148" s="45" t="s">
        <v>239</v>
      </c>
      <c r="D148" s="31"/>
      <c r="E148" s="32">
        <v>50000</v>
      </c>
      <c r="F148" s="32">
        <f t="shared" si="2"/>
        <v>6814800</v>
      </c>
    </row>
    <row r="149" spans="2:6" x14ac:dyDescent="0.35">
      <c r="B149" s="33">
        <v>39419</v>
      </c>
      <c r="C149" s="45" t="s">
        <v>239</v>
      </c>
      <c r="D149" s="31"/>
      <c r="E149" s="32">
        <v>100000</v>
      </c>
      <c r="F149" s="32">
        <f t="shared" si="2"/>
        <v>6714800</v>
      </c>
    </row>
    <row r="150" spans="2:6" x14ac:dyDescent="0.35">
      <c r="C150" s="45" t="s">
        <v>240</v>
      </c>
      <c r="D150" s="31"/>
      <c r="E150" s="32">
        <v>45000</v>
      </c>
      <c r="F150" s="32">
        <f t="shared" si="2"/>
        <v>6669800</v>
      </c>
    </row>
    <row r="151" spans="2:6" x14ac:dyDescent="0.35">
      <c r="C151" s="45" t="s">
        <v>241</v>
      </c>
      <c r="D151" s="31"/>
      <c r="E151" s="32">
        <v>34000</v>
      </c>
      <c r="F151" s="32">
        <f t="shared" si="2"/>
        <v>6635800</v>
      </c>
    </row>
    <row r="152" spans="2:6" x14ac:dyDescent="0.35">
      <c r="C152" s="45" t="s">
        <v>242</v>
      </c>
      <c r="E152" s="32">
        <v>2400000</v>
      </c>
      <c r="F152" s="32">
        <f t="shared" si="2"/>
        <v>4235800</v>
      </c>
    </row>
    <row r="153" spans="2:6" x14ac:dyDescent="0.35">
      <c r="C153" s="45" t="s">
        <v>243</v>
      </c>
      <c r="E153" s="32">
        <v>250000</v>
      </c>
      <c r="F153" s="32">
        <f t="shared" si="2"/>
        <v>3985800</v>
      </c>
    </row>
    <row r="154" spans="2:6" x14ac:dyDescent="0.35">
      <c r="C154" s="45" t="s">
        <v>244</v>
      </c>
      <c r="E154" s="32">
        <v>9000</v>
      </c>
      <c r="F154" s="32">
        <f t="shared" si="2"/>
        <v>3976800</v>
      </c>
    </row>
    <row r="155" spans="2:6" x14ac:dyDescent="0.35">
      <c r="C155" s="45" t="s">
        <v>245</v>
      </c>
      <c r="D155" s="32">
        <v>2250000</v>
      </c>
      <c r="E155" s="32"/>
      <c r="F155" s="32">
        <f t="shared" si="2"/>
        <v>6226800</v>
      </c>
    </row>
    <row r="156" spans="2:6" x14ac:dyDescent="0.35">
      <c r="C156" s="45" t="s">
        <v>245</v>
      </c>
      <c r="D156" s="32">
        <v>1800000</v>
      </c>
      <c r="F156" s="32">
        <f t="shared" si="2"/>
        <v>8026800</v>
      </c>
    </row>
    <row r="157" spans="2:6" x14ac:dyDescent="0.35">
      <c r="D157" s="32"/>
      <c r="F157" s="32">
        <f t="shared" si="2"/>
        <v>8026800</v>
      </c>
    </row>
    <row r="158" spans="2:6" x14ac:dyDescent="0.35">
      <c r="D158" s="32"/>
      <c r="F158" s="32">
        <f t="shared" si="2"/>
        <v>8026800</v>
      </c>
    </row>
    <row r="159" spans="2:6" x14ac:dyDescent="0.35">
      <c r="D159" s="32"/>
    </row>
    <row r="160" spans="2:6" x14ac:dyDescent="0.35">
      <c r="D160" s="32"/>
    </row>
  </sheetData>
  <phoneticPr fontId="10" type="noConversion"/>
  <pageMargins left="0.75" right="0.75" top="1" bottom="1" header="0.5" footer="0.5"/>
  <pageSetup paperSize="9" scale="8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L21"/>
  <sheetViews>
    <sheetView topLeftCell="A7" workbookViewId="0">
      <selection activeCell="F31" sqref="F31:F33"/>
    </sheetView>
  </sheetViews>
  <sheetFormatPr defaultRowHeight="15.5" x14ac:dyDescent="0.35"/>
  <sheetData>
    <row r="5" spans="2:12" x14ac:dyDescent="0.35">
      <c r="J5" s="2"/>
      <c r="K5" s="24" t="s">
        <v>96</v>
      </c>
      <c r="L5" s="2"/>
    </row>
    <row r="8" spans="2:12" x14ac:dyDescent="0.35">
      <c r="B8" s="11"/>
      <c r="C8" s="11"/>
      <c r="D8" s="12"/>
      <c r="F8" t="s">
        <v>97</v>
      </c>
      <c r="G8" s="13"/>
      <c r="H8" s="13"/>
      <c r="I8" s="13"/>
      <c r="J8" s="13"/>
      <c r="K8" s="13"/>
      <c r="L8" s="13"/>
    </row>
    <row r="9" spans="2:12" x14ac:dyDescent="0.35">
      <c r="B9" s="11"/>
      <c r="C9" s="11"/>
      <c r="D9" s="12"/>
      <c r="G9" s="13"/>
      <c r="H9" s="13"/>
      <c r="I9" s="13"/>
      <c r="J9" s="13"/>
      <c r="K9" s="13"/>
      <c r="L9" s="13"/>
    </row>
    <row r="10" spans="2:12" x14ac:dyDescent="0.35">
      <c r="B10" s="14"/>
      <c r="C10" s="14"/>
      <c r="D10" s="15"/>
      <c r="E10" s="135" t="str">
        <f>"# "&amp;Sheet1!L6&amp;Sheet1!M6&amp;Sheet1!N6&amp;Sheet1!O6&amp;Sheet1!P6&amp;Sheet1!Q6&amp;Sheet1!R6&amp;Sheet1!S6&amp;Sheet1!T6&amp;"Rupiah"&amp;" #"</f>
        <v># Sepuluh Juta Lima Puluh Empat Ribu Empat Ratus Rupiah #</v>
      </c>
      <c r="F10" s="135"/>
      <c r="G10" s="135"/>
      <c r="H10" s="135"/>
      <c r="I10" s="135"/>
      <c r="J10" s="135"/>
      <c r="K10" s="135"/>
      <c r="L10" s="135"/>
    </row>
    <row r="11" spans="2:12" x14ac:dyDescent="0.35">
      <c r="B11" s="14"/>
      <c r="C11" s="14"/>
      <c r="D11" s="15"/>
      <c r="E11" s="17"/>
      <c r="F11" s="17"/>
      <c r="G11" s="17"/>
      <c r="H11" s="17"/>
      <c r="I11" s="17"/>
      <c r="J11" s="17"/>
      <c r="K11" s="17"/>
      <c r="L11" s="17"/>
    </row>
    <row r="12" spans="2:12" x14ac:dyDescent="0.35">
      <c r="B12" s="11"/>
      <c r="C12" s="11"/>
      <c r="D12" s="12"/>
      <c r="E12" s="2" t="s">
        <v>87</v>
      </c>
      <c r="G12" s="13"/>
      <c r="H12" s="13"/>
      <c r="I12" s="13"/>
      <c r="J12" s="13"/>
      <c r="K12" s="13"/>
      <c r="L12" s="13"/>
    </row>
    <row r="13" spans="2:12" x14ac:dyDescent="0.35">
      <c r="D13" s="16"/>
      <c r="E13" s="2"/>
      <c r="F13" t="s">
        <v>88</v>
      </c>
      <c r="G13" s="21">
        <v>6</v>
      </c>
      <c r="H13" t="s">
        <v>86</v>
      </c>
      <c r="I13" s="21" t="s">
        <v>89</v>
      </c>
      <c r="J13" t="s">
        <v>90</v>
      </c>
      <c r="K13" s="22">
        <v>3000000</v>
      </c>
      <c r="L13" s="20">
        <f>+G13*K13</f>
        <v>18000000</v>
      </c>
    </row>
    <row r="14" spans="2:12" x14ac:dyDescent="0.35">
      <c r="D14" s="16"/>
      <c r="E14" s="2"/>
      <c r="F14" s="19" t="s">
        <v>85</v>
      </c>
      <c r="G14" s="21">
        <v>1</v>
      </c>
      <c r="H14" t="s">
        <v>86</v>
      </c>
      <c r="I14" s="21" t="s">
        <v>89</v>
      </c>
      <c r="J14" t="s">
        <v>90</v>
      </c>
      <c r="K14" s="22">
        <v>3500000</v>
      </c>
      <c r="L14" s="20">
        <f>+G14*K14</f>
        <v>3500000</v>
      </c>
    </row>
    <row r="15" spans="2:12" x14ac:dyDescent="0.35">
      <c r="E15" s="3"/>
      <c r="F15" t="s">
        <v>91</v>
      </c>
      <c r="G15">
        <v>11</v>
      </c>
      <c r="H15" t="s">
        <v>86</v>
      </c>
      <c r="I15" s="21" t="s">
        <v>89</v>
      </c>
      <c r="J15" t="s">
        <v>90</v>
      </c>
      <c r="K15" s="22">
        <v>500000</v>
      </c>
      <c r="L15" s="20">
        <f>+G15*K15</f>
        <v>5500000</v>
      </c>
    </row>
    <row r="16" spans="2:12" ht="18.5" x14ac:dyDescent="0.65">
      <c r="F16" s="24" t="s">
        <v>93</v>
      </c>
      <c r="G16">
        <v>6</v>
      </c>
      <c r="H16" t="s">
        <v>84</v>
      </c>
      <c r="I16" s="21">
        <v>5</v>
      </c>
      <c r="J16" t="s">
        <v>92</v>
      </c>
      <c r="K16" s="22">
        <v>375000</v>
      </c>
      <c r="L16" s="25">
        <f>+G16*I16*K16</f>
        <v>11250000</v>
      </c>
    </row>
    <row r="17" spans="1:12" x14ac:dyDescent="0.35">
      <c r="F17" s="24" t="s">
        <v>94</v>
      </c>
      <c r="I17" s="21"/>
      <c r="K17" s="22"/>
      <c r="L17" s="23">
        <f>SUM(L13:L16)</f>
        <v>38250000</v>
      </c>
    </row>
    <row r="18" spans="1:12" x14ac:dyDescent="0.35">
      <c r="J18" s="1"/>
      <c r="K18" s="1" t="s">
        <v>95</v>
      </c>
      <c r="L18" s="1"/>
    </row>
    <row r="20" spans="1:12" ht="16.5" x14ac:dyDescent="0.35">
      <c r="A20" s="136">
        <v>27500000</v>
      </c>
      <c r="B20" s="136"/>
      <c r="C20" s="136"/>
      <c r="D20" s="136"/>
      <c r="E20" s="136"/>
      <c r="K20" s="18" t="s">
        <v>82</v>
      </c>
      <c r="L20" s="18"/>
    </row>
    <row r="21" spans="1:12" x14ac:dyDescent="0.35">
      <c r="K21" s="19" t="s">
        <v>83</v>
      </c>
      <c r="L21" s="19"/>
    </row>
  </sheetData>
  <mergeCells count="2">
    <mergeCell ref="E10:L10"/>
    <mergeCell ref="A20:E20"/>
  </mergeCells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K34"/>
  <sheetViews>
    <sheetView topLeftCell="A28" workbookViewId="0">
      <selection activeCell="I17" sqref="I17"/>
    </sheetView>
  </sheetViews>
  <sheetFormatPr defaultRowHeight="15.5" x14ac:dyDescent="0.35"/>
  <cols>
    <col min="10" max="10" width="9" bestFit="1" customWidth="1"/>
  </cols>
  <sheetData>
    <row r="3" spans="2:11" ht="16" thickBot="1" x14ac:dyDescent="0.4">
      <c r="B3" s="90">
        <v>25</v>
      </c>
      <c r="D3" s="90" t="s">
        <v>319</v>
      </c>
    </row>
    <row r="4" spans="2:11" ht="16" thickBot="1" x14ac:dyDescent="0.4">
      <c r="B4" s="90" t="s">
        <v>310</v>
      </c>
      <c r="D4" s="90" t="s">
        <v>320</v>
      </c>
    </row>
    <row r="5" spans="2:11" ht="16" thickBot="1" x14ac:dyDescent="0.4">
      <c r="B5" s="90" t="s">
        <v>311</v>
      </c>
      <c r="D5" s="90" t="s">
        <v>318</v>
      </c>
    </row>
    <row r="6" spans="2:11" ht="16" thickBot="1" x14ac:dyDescent="0.4">
      <c r="B6" s="90" t="s">
        <v>312</v>
      </c>
      <c r="D6" s="90" t="s">
        <v>321</v>
      </c>
    </row>
    <row r="7" spans="2:11" ht="16" thickBot="1" x14ac:dyDescent="0.4">
      <c r="B7" s="90">
        <v>35</v>
      </c>
      <c r="D7" s="90" t="s">
        <v>318</v>
      </c>
    </row>
    <row r="8" spans="2:11" ht="16" thickBot="1" x14ac:dyDescent="0.4">
      <c r="B8" s="90" t="s">
        <v>311</v>
      </c>
      <c r="D8" s="90" t="s">
        <v>312</v>
      </c>
    </row>
    <row r="9" spans="2:11" ht="16" thickBot="1" x14ac:dyDescent="0.4">
      <c r="B9" s="90" t="s">
        <v>313</v>
      </c>
      <c r="D9" s="90" t="s">
        <v>318</v>
      </c>
    </row>
    <row r="10" spans="2:11" ht="16" thickBot="1" x14ac:dyDescent="0.4">
      <c r="B10" s="90">
        <v>20</v>
      </c>
      <c r="D10" s="90">
        <v>65</v>
      </c>
    </row>
    <row r="11" spans="2:11" ht="16" thickBot="1" x14ac:dyDescent="0.4">
      <c r="B11" s="90" t="s">
        <v>314</v>
      </c>
      <c r="D11" s="90" t="s">
        <v>310</v>
      </c>
    </row>
    <row r="12" spans="2:11" ht="16" thickBot="1" x14ac:dyDescent="0.4">
      <c r="B12" s="90" t="s">
        <v>310</v>
      </c>
      <c r="D12" s="90" t="s">
        <v>317</v>
      </c>
    </row>
    <row r="13" spans="2:11" ht="16" thickBot="1" x14ac:dyDescent="0.4">
      <c r="B13" s="90" t="s">
        <v>311</v>
      </c>
      <c r="D13" s="90" t="s">
        <v>311</v>
      </c>
      <c r="J13">
        <v>7500000</v>
      </c>
      <c r="K13">
        <v>6</v>
      </c>
    </row>
    <row r="14" spans="2:11" ht="16" thickBot="1" x14ac:dyDescent="0.4">
      <c r="B14" s="90" t="s">
        <v>315</v>
      </c>
      <c r="D14" s="90" t="s">
        <v>322</v>
      </c>
    </row>
    <row r="15" spans="2:11" ht="16" thickBot="1" x14ac:dyDescent="0.4">
      <c r="B15" s="90" t="s">
        <v>315</v>
      </c>
      <c r="D15" s="90" t="s">
        <v>321</v>
      </c>
      <c r="J15">
        <f>J13*K13</f>
        <v>45000000</v>
      </c>
    </row>
    <row r="16" spans="2:11" ht="16" thickBot="1" x14ac:dyDescent="0.4">
      <c r="B16" s="90">
        <v>45</v>
      </c>
      <c r="D16" s="90" t="s">
        <v>323</v>
      </c>
    </row>
    <row r="17" spans="2:4" ht="16" thickBot="1" x14ac:dyDescent="0.4">
      <c r="B17" s="90">
        <v>50</v>
      </c>
      <c r="D17" s="90">
        <v>40</v>
      </c>
    </row>
    <row r="18" spans="2:4" ht="16" thickBot="1" x14ac:dyDescent="0.4">
      <c r="B18" s="90">
        <v>50</v>
      </c>
      <c r="D18" s="90" t="s">
        <v>322</v>
      </c>
    </row>
    <row r="19" spans="2:4" ht="16" thickBot="1" x14ac:dyDescent="0.4">
      <c r="B19" s="90" t="s">
        <v>311</v>
      </c>
      <c r="D19" s="90" t="s">
        <v>324</v>
      </c>
    </row>
    <row r="20" spans="2:4" ht="16" thickBot="1" x14ac:dyDescent="0.4">
      <c r="B20" s="90">
        <v>50</v>
      </c>
      <c r="D20" s="90" t="s">
        <v>324</v>
      </c>
    </row>
    <row r="21" spans="2:4" ht="16" thickBot="1" x14ac:dyDescent="0.4">
      <c r="B21" s="90">
        <v>45</v>
      </c>
      <c r="D21" s="90" t="s">
        <v>317</v>
      </c>
    </row>
    <row r="22" spans="2:4" ht="16" thickBot="1" x14ac:dyDescent="0.4">
      <c r="B22" s="90">
        <v>20</v>
      </c>
      <c r="D22" s="90">
        <v>50</v>
      </c>
    </row>
    <row r="23" spans="2:4" ht="16" thickBot="1" x14ac:dyDescent="0.4">
      <c r="B23" s="90" t="s">
        <v>315</v>
      </c>
      <c r="D23" s="90" t="s">
        <v>325</v>
      </c>
    </row>
    <row r="24" spans="2:4" ht="16" thickBot="1" x14ac:dyDescent="0.4">
      <c r="B24" s="90" t="s">
        <v>316</v>
      </c>
      <c r="D24" s="90" t="s">
        <v>310</v>
      </c>
    </row>
    <row r="25" spans="2:4" ht="16" thickBot="1" x14ac:dyDescent="0.4">
      <c r="B25" s="90">
        <v>50</v>
      </c>
      <c r="D25" s="90" t="s">
        <v>312</v>
      </c>
    </row>
    <row r="26" spans="2:4" ht="16" thickBot="1" x14ac:dyDescent="0.4">
      <c r="B26" s="90" t="s">
        <v>317</v>
      </c>
      <c r="D26" s="90" t="s">
        <v>322</v>
      </c>
    </row>
    <row r="27" spans="2:4" ht="16" thickBot="1" x14ac:dyDescent="0.4">
      <c r="B27" s="90" t="s">
        <v>318</v>
      </c>
      <c r="D27" s="90">
        <v>70</v>
      </c>
    </row>
    <row r="28" spans="2:4" ht="16" thickBot="1" x14ac:dyDescent="0.4">
      <c r="B28" s="90" t="s">
        <v>317</v>
      </c>
      <c r="D28" s="90" t="s">
        <v>322</v>
      </c>
    </row>
    <row r="29" spans="2:4" ht="16" thickBot="1" x14ac:dyDescent="0.4">
      <c r="B29" s="90" t="s">
        <v>317</v>
      </c>
      <c r="D29" s="90" t="s">
        <v>322</v>
      </c>
    </row>
    <row r="30" spans="2:4" ht="16" thickBot="1" x14ac:dyDescent="0.4">
      <c r="B30" s="90" t="s">
        <v>318</v>
      </c>
      <c r="D30" s="90" t="s">
        <v>312</v>
      </c>
    </row>
    <row r="31" spans="2:4" ht="16" thickBot="1" x14ac:dyDescent="0.4">
      <c r="B31" s="90" t="s">
        <v>318</v>
      </c>
      <c r="D31" s="90">
        <v>50</v>
      </c>
    </row>
    <row r="32" spans="2:4" ht="16" thickBot="1" x14ac:dyDescent="0.4">
      <c r="B32" s="90" t="s">
        <v>318</v>
      </c>
      <c r="D32" s="90" t="s">
        <v>319</v>
      </c>
    </row>
    <row r="33" spans="2:4" ht="16" thickBot="1" x14ac:dyDescent="0.4">
      <c r="B33" s="90" t="s">
        <v>318</v>
      </c>
      <c r="D33" s="90" t="s">
        <v>319</v>
      </c>
    </row>
    <row r="34" spans="2:4" x14ac:dyDescent="0.35">
      <c r="B34">
        <f>AVERAGE(B3:B33)</f>
        <v>39</v>
      </c>
      <c r="D34">
        <f>AVERAGE(D3:D32)</f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kwitansi</vt:lpstr>
      <vt:lpstr>Sheet1</vt:lpstr>
      <vt:lpstr>TABEL LUNAS</vt:lpstr>
      <vt:lpstr>Sheet2</vt:lpstr>
      <vt:lpstr>kas</vt:lpstr>
      <vt:lpstr>Sheet3</vt:lpstr>
      <vt:lpstr>Sheet4</vt:lpstr>
      <vt:lpstr>kas!Print_Area</vt:lpstr>
      <vt:lpstr>kwitansi!Print_Area</vt:lpstr>
      <vt:lpstr>'TABEL LUNAS'!Print_Area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adieb</dc:creator>
  <cp:lastModifiedBy>um425uaz-6cx5@outlook.com</cp:lastModifiedBy>
  <cp:lastPrinted>2026-10-13T05:31:03Z</cp:lastPrinted>
  <dcterms:created xsi:type="dcterms:W3CDTF">2005-02-05T19:56:22Z</dcterms:created>
  <dcterms:modified xsi:type="dcterms:W3CDTF">2026-10-13T05:32:26Z</dcterms:modified>
</cp:coreProperties>
</file>